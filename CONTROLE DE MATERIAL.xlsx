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PI" sheetId="1" r:id="rId5"/>
    <sheet state="visible" name="CONSUMO E DURADOURO" sheetId="2" r:id="rId6"/>
    <sheet state="visible" name="EXTINTORES" sheetId="3" r:id="rId7"/>
    <sheet state="visible" name="PERMANENTE " sheetId="4" r:id="rId8"/>
    <sheet state="visible" name="CONTROLE BMP" sheetId="5" r:id="rId9"/>
  </sheets>
  <definedNames>
    <definedName hidden="1" localSheetId="0" name="_xlnm._FilterDatabase">EPI!$B$3:$E$98</definedName>
    <definedName hidden="1" localSheetId="1" name="_xlnm._FilterDatabase">'CONSUMO E DURADOURO'!$B$1:$G$100</definedName>
    <definedName hidden="1" localSheetId="2" name="_xlnm._FilterDatabase">EXTINTORES!$B$1:$F$1773</definedName>
    <definedName hidden="1" localSheetId="3" name="_xlnm._FilterDatabase">'PERMANENTE '!$B$1:$H$572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9">
      <text>
        <t xml:space="preserve">======
ID#AAAA8HELi9U
Autor desconhecido    (2023-10-10 21:52:26)
DESCARREGAR 20 UN</t>
      </text>
    </comment>
    <comment authorId="0" ref="F37">
      <text>
        <t xml:space="preserve">======
ID#AAAA8HELi8U
Autor desconhecido    (2023-10-10 21:52:26)
DESCARREGAR 4 UN</t>
      </text>
    </comment>
    <comment authorId="0" ref="F52">
      <text>
        <t xml:space="preserve">======
ID#AAAA8HELi-Y
Autor desconhecido    (2023-10-10 21:52:26)
DESCARREGAR 11 UN</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
      <text>
        <t xml:space="preserve">======
ID#AAAA8HELi8o
Autor desconhecido    (2023-10-10 21:52:26)
ITEM NÃO DEVERIA ESTAR EM CARGA; 
SUA ORIGEM TEM Q SER AVERIGUADA NA SEÇ. REGISTRO; 
MATERIAL PERTENCE À VIATURA.</t>
      </text>
    </comment>
    <comment authorId="0" ref="F3">
      <text>
        <t xml:space="preserve">======
ID#AAAA8HELi8o
Autor desconhecido    (2023-10-10 21:52:26)
ITEM NÃO DEVERIA ESTAR EM CARGA; 
SUA ORIGEM TEM Q SER AVERIGUADA NA SEÇ. REGISTRO; 
MATERIAL PERTENCE À VIATURA.</t>
      </text>
    </comment>
    <comment authorId="0" ref="F4">
      <text>
        <t xml:space="preserve">======
ID#AAAA8HELi88
Autor desconhecido    (2023-10-10 21:52:26)
ITEM NÃO DEVERIA ESTAR EM CARGA; 
SUA ORIGEM TEM Q SER AVERIGUADA NA SEÇ. REGISTRO; 
MATERIAL PERTENCE À VIATURA.</t>
      </text>
    </comment>
    <comment authorId="0" ref="F5">
      <text>
        <t xml:space="preserve">======
ID#AAAA8HELi9A
Autor desconhecido    (2023-10-10 21:52:26)
ITEM NÃO DEVERIA ESTAR EM CARGA; 
SUA ORIGEM TEM Q SER AVERIGUADA NA SEÇ. REGISTRO; 
MATERIAL PERTENCE À VIATURA.</t>
      </text>
    </comment>
    <comment authorId="0" ref="F6">
      <text>
        <t xml:space="preserve">======
ID#AAAA8HELi-E
Autor desconhecido    (2023-10-10 21:52:26)
ITEM NÃO DEVERIA ESTAR EM CARGA; 
SUA ORIGEM TEM Q SER AVERIGUADA NA SEÇ. REGISTRO; 
MATERIAL PERTENCE À VIATURA.</t>
      </text>
    </comment>
    <comment authorId="0" ref="F7">
      <text>
        <t xml:space="preserve">======
ID#AAAA8HELi9k
Autor desconhecido    (2023-10-10 21:52:26)
ITEM NÃO DEVERIA ESTAR EM CARGA; 
SUA ORIGEM TEM Q SER AVERIGUADA NA SEÇ. REGISTRO; 
MATERIAL PERTENCE À VIATURA.</t>
      </text>
    </comment>
    <comment authorId="0" ref="F8">
      <text>
        <t xml:space="preserve">======
ID#AAAA8HELi8Q
Autor desconhecido    (2023-10-10 21:52:26)
ITEM NÃO DEVERIA ESTAR EM CARGA; 
SUA ORIGEM TEM Q SER AVERIGUADA NA SEÇ. REGISTRO; 
MATERIAL PERTENCE À VIATURA.</t>
      </text>
    </comment>
    <comment authorId="0" ref="G12">
      <text>
        <t xml:space="preserve">OF 180</t>
      </text>
    </comment>
    <comment authorId="0" ref="G13">
      <text>
        <t xml:space="preserve">OF 199
Sala 12 OREI</t>
      </text>
    </comment>
    <comment authorId="0" ref="G16">
      <text>
        <t xml:space="preserve">OF 186
Sala 13 OREI</t>
      </text>
    </comment>
    <comment authorId="0" ref="G17">
      <text>
        <t xml:space="preserve">OF 186
Sala 13 OREI</t>
      </text>
    </comment>
    <comment authorId="0" ref="F18">
      <text>
        <t xml:space="preserve">======
ID#AAAA8HELi98
Autor desconhecido    (2023-10-10 21:52:26)
PARTE 1241</t>
      </text>
    </comment>
    <comment authorId="0" ref="G19">
      <text>
        <t xml:space="preserve">OF 186
Sala 13 OREI</t>
      </text>
    </comment>
    <comment authorId="0" ref="G20">
      <text>
        <t xml:space="preserve">OF 186
Sala 13 OREI</t>
      </text>
    </comment>
    <comment authorId="0" ref="G33">
      <text>
        <t xml:space="preserve">OF 180</t>
      </text>
    </comment>
    <comment authorId="0" ref="G34">
      <text>
        <t xml:space="preserve">OF 180</t>
      </text>
    </comment>
    <comment authorId="0" ref="F38">
      <text>
        <t xml:space="preserve">======
ID#AAAA8HELi9c
Autor desconhecido    (2023-10-10 21:52:26)
MOTO ABRASIVO</t>
      </text>
    </comment>
    <comment authorId="0" ref="G85">
      <text>
        <t xml:space="preserve">OF 199</t>
      </text>
    </comment>
    <comment authorId="0" ref="G96">
      <text>
        <t xml:space="preserve">OF 186
Sala 13 OREI</t>
      </text>
    </comment>
    <comment authorId="0" ref="G97">
      <text>
        <t xml:space="preserve">OF 186
Sala 13 OREI</t>
      </text>
    </comment>
    <comment authorId="0" ref="F102">
      <text>
        <t xml:space="preserve">======
ID#AAAA8HELi9Y
Autor desconhecido    (2023-10-10 21:52:26)
ITE P/ SER TRANSF. P/ GERAIS</t>
      </text>
    </comment>
    <comment authorId="0" ref="F109">
      <text>
        <t xml:space="preserve">======
ID#AAAA8HELi9g
Autor desconhecido    (2023-10-10 21:52:26)
*TORNO</t>
      </text>
    </comment>
    <comment authorId="0" ref="F116">
      <text>
        <t xml:space="preserve">======
ID#AAAA8HELi8k
Autor desconhecido    (2023-10-10 21:52:26)
SÓ EXISTE UM MANEQUIM COM MONITOR; 
VER A SITUAÇÃO NA SEÇ. REGISTRO.</t>
      </text>
    </comment>
    <comment authorId="0" ref="G149">
      <text>
        <t xml:space="preserve">OF 199
Sala 12 OREI</t>
      </text>
    </comment>
    <comment authorId="0" ref="F168">
      <text>
        <t xml:space="preserve">======
ID#AAAA8HELi9E
Autor desconhecido    (2023-10-10 21:52:26)
NOMENCLATURA INCOERENTE; 
PODE SER QUALQUER COISA QUE TENHA CORELAÇÃO;</t>
      </text>
    </comment>
    <comment authorId="0" ref="F184">
      <text>
        <t xml:space="preserve">======
ID#AAAA8HELi8s
Autor desconhecido    (2023-10-10 21:52:26)
ITEM OREI</t>
      </text>
    </comment>
    <comment authorId="0" ref="F195">
      <text>
        <t xml:space="preserve">======
ID#AAAA8HELi-Q
Autor desconhecido    (2023-10-10 21:52:26)
ITEM PARA SER TRANSFERIDO PARA O GERAIS;
SGT MUNHÕZ DA GARAGEM DO GAP CIENTE, RAMAL 1429;
03 ITENS  ( 3 PN/Nº SÉRIE ).</t>
      </text>
    </comment>
    <comment authorId="0" ref="G195">
      <text>
        <t xml:space="preserve">Transferido para carga do GAP</t>
      </text>
    </comment>
    <comment authorId="0" ref="G224">
      <text>
        <t xml:space="preserve">OF 186
Sala 13 OREI</t>
      </text>
    </comment>
    <comment authorId="0" ref="F295">
      <text>
        <t xml:space="preserve">======
ID#AAAA8HELi9I
Autor desconhecido    (2023-10-10 21:52:26)
???????</t>
      </text>
    </comment>
    <comment authorId="0" ref="G311">
      <text>
        <t xml:space="preserve">OF 199
Sala 12 OREI</t>
      </text>
    </comment>
    <comment authorId="0" ref="F396">
      <text>
        <t xml:space="preserve">======
ID#AAAA8HELi94
Autor desconhecido    (2023-10-10 21:52:26)
ITEM SENDO UTILIZADO P/ TREINAMENTO DE COMBATE A INCÊNDIO.</t>
      </text>
    </comment>
    <comment authorId="0" ref="F397">
      <text>
        <t xml:space="preserve">======
ID#AAAA8HELi9o
Autor desconhecido    (2023-10-10 21:52:26)
ITEM SENDO UTILIZADO P/ TREINAMENTO DE COMBATE A INCÊNDIO.</t>
      </text>
    </comment>
    <comment authorId="0" ref="F399">
      <text>
        <t xml:space="preserve">======
ID#AAAA8HELi9M
Autor desconhecido    (2023-10-10 21:52:26)
ITEM PROVAVELMENTE TINHA ORIGEM MAT. CAR. OREI;
MATERIAL CARGA ANTIGO, PODE ESTAR COM O GSD.</t>
      </text>
    </comment>
    <comment authorId="0" ref="F403">
      <text>
        <t xml:space="preserve">======
ID#AAAA8HELi8w
Autor desconhecido    (2023-10-10 21:52:26)
ITEM PODE SER DA PAJÉ</t>
      </text>
    </comment>
    <comment authorId="0" ref="F404">
      <text>
        <t xml:space="preserve">======
ID#AAAA8HELi8g
Autor desconhecido    (2023-10-10 21:52:26)
EXISTEM 2 ITENS NA RESERVA.</t>
      </text>
    </comment>
    <comment authorId="0" ref="G424">
      <text>
        <t xml:space="preserve">OF 199
Sala 12 OREI</t>
      </text>
    </comment>
    <comment authorId="0" ref="G425">
      <text>
        <t xml:space="preserve">OF 186
Sala 13 OREI</t>
      </text>
    </comment>
    <comment authorId="0" ref="G426">
      <text>
        <t xml:space="preserve">OF 199
Sala 12 OREI</t>
      </text>
    </comment>
    <comment authorId="0" ref="G428">
      <text>
        <t xml:space="preserve">OF 199
Sala 12 OREI</t>
      </text>
    </comment>
    <comment authorId="0" ref="G429">
      <text>
        <t xml:space="preserve">OF 199
Sala 12 OREI</t>
      </text>
    </comment>
    <comment authorId="0" ref="F436">
      <text>
        <t xml:space="preserve">======
ID#AAAA8HELi80
Autor desconhecido    (2023-10-10 21:52:26)
ITEM PROVAVELMENTE TINHA ORIGEM MAT. CAR. OREI;
MATERIAL CARGA ANTIGO, PODE ESTAR COM O GSD.</t>
      </text>
    </comment>
    <comment authorId="0" ref="F440">
      <text>
        <t xml:space="preserve">======
ID#AAAA8HELi-M
Autor desconhecido    (2023-10-10 21:52:26)
ITEM PROVAVELMENTE TINHA ORIGEM MAT. CAR. OREI;
MATERIAL CARGA ANTIGO, PODE ESTAR COM O GSD.</t>
      </text>
    </comment>
    <comment authorId="0" ref="F442">
      <text>
        <t xml:space="preserve">======
ID#AAAA8HELi8Y
Autor desconhecido    (2023-10-10 21:52:26)
CARGA DA SCOAM
24/06/20</t>
      </text>
    </comment>
    <comment authorId="0" ref="G458">
      <text>
        <t xml:space="preserve">OF 199
Sala 12 OREI</t>
      </text>
    </comment>
    <comment authorId="0" ref="G459">
      <text>
        <t xml:space="preserve">OF 199
Sala 12 OREI</t>
      </text>
    </comment>
    <comment authorId="0" ref="G460">
      <text>
        <t xml:space="preserve">OF 199
Sala 12 OREI</t>
      </text>
    </comment>
    <comment authorId="0" ref="G461">
      <text>
        <t xml:space="preserve">OF 199
Sala 12 OREI</t>
      </text>
    </comment>
    <comment authorId="0" ref="G462">
      <text>
        <t xml:space="preserve">OF 199
Sala 12 OREI</t>
      </text>
    </comment>
    <comment authorId="0" ref="G463">
      <text>
        <t xml:space="preserve">OF 199
Sala 12 OREI</t>
      </text>
    </comment>
    <comment authorId="0" ref="G464">
      <text>
        <t xml:space="preserve">OF 199
Sala 12 OREI</t>
      </text>
    </comment>
    <comment authorId="0" ref="G465">
      <text>
        <t xml:space="preserve">OF 199
Sala 12 OREI</t>
      </text>
    </comment>
    <comment authorId="0" ref="G466">
      <text>
        <t xml:space="preserve">OF 199
Sala 12 OREI</t>
      </text>
    </comment>
    <comment authorId="0" ref="G467">
      <text>
        <t xml:space="preserve">OF 199
Sala 12 OREI</t>
      </text>
    </comment>
    <comment authorId="0" ref="G468">
      <text>
        <t xml:space="preserve">OF 199
Sala 12 OREI</t>
      </text>
    </comment>
    <comment authorId="0" ref="G469">
      <text>
        <t xml:space="preserve">OF 199
Sala 12 OREI</t>
      </text>
    </comment>
    <comment authorId="0" ref="G470">
      <text>
        <t xml:space="preserve">OF 186
Sala 13 OREI</t>
      </text>
    </comment>
    <comment authorId="0" ref="G497">
      <text>
        <t xml:space="preserve">OF 199
Sala 13 OREI</t>
      </text>
    </comment>
    <comment authorId="0" ref="G504">
      <text>
        <t xml:space="preserve">OF 186
Sala 13 OREI</t>
      </text>
    </comment>
    <comment authorId="0" ref="F506">
      <text>
        <t xml:space="preserve">======
ID#AAAA8HELi84
Autor desconhecido    (2023-10-10 21:52:26)
ITEM PROVAVELMENTE TINHA ORIGEM MAT. CAR. OREI;
MATERIAL CARGA ANTIGO, PODE ESTAR COM O GSD.</t>
      </text>
    </comment>
    <comment authorId="0" ref="G507">
      <text>
        <t xml:space="preserve">OF 186
Sala 13 OREI</t>
      </text>
    </comment>
    <comment authorId="0" ref="F529">
      <text>
        <t xml:space="preserve">======
ID#AAAA8HELi-c
Autor desconhecido    (2023-10-10 21:52:26)
SEM JOGO DE CINTO</t>
      </text>
    </comment>
    <comment authorId="0" ref="F548">
      <text>
        <t xml:space="preserve">======
ID#AAAA8HELi-A
Autor desconhecido    (2023-10-10 21:52:26)
ITEM NÃO PERTENCE À Cia CI; 
MATERIAL EMPREGADO PELA EMPRESA DE ABASTECIMENTO.
DEVE-SE FAZER A TRANSFERÊNCIA PARA O SETOR RESPONSÁVEL DA BACO.</t>
      </text>
    </comment>
    <comment authorId="0" ref="F549">
      <text>
        <t xml:space="preserve">======
ID#AAAA8HELi90
Autor desconhecido    (2023-10-10 21:52:26)
ITEM NÃO PERTENCE À Cia CI; 
MATERIAL EMPREGADO PELA EMPRESA DE ABASTECIMENTO.
DEVE-SE FAZER A TRANSFERÊNCIA PARA O SETOR RESPONSÁVEL DA BACO.</t>
      </text>
    </comment>
    <comment authorId="0" ref="F550">
      <text>
        <t xml:space="preserve">======
ID#AAAA8HELi9Q
Autor desconhecido    (2023-10-10 21:52:26)
ITEM NÃO PERTENCE À Cia CI; 
MATERIAL EMPREGADO PELA EMPRESA DE ABASTECIMENTO.
DEVE-SE FAZER A TRANSFERÊNCIA PARA O SETOR RESPONSÁVEL DA BACO.</t>
      </text>
    </comment>
    <comment authorId="0" ref="F551">
      <text>
        <t xml:space="preserve">======
ID#AAAA8HELi8M
Autor desconhecido    (2023-10-10 21:52:26)
ITEM NÃO PERTENCE À Cia CI; 
MATERIAL EMPREGADO PELA EMPRESA DE ABASTECIMENTO.
DEVE-SE FAZER A TRANSFERÊNCIA PARA O SETOR RESPONSÁVEL DA BACO.</t>
      </text>
    </comment>
  </commentList>
</comments>
</file>

<file path=xl/sharedStrings.xml><?xml version="1.0" encoding="utf-8"?>
<sst xmlns="http://schemas.openxmlformats.org/spreadsheetml/2006/main" count="11790" uniqueCount="1692">
  <si>
    <t>f</t>
  </si>
  <si>
    <t>CONTROLE EPI</t>
  </si>
  <si>
    <t xml:space="preserve">✔ </t>
  </si>
  <si>
    <t>JAQ.</t>
  </si>
  <si>
    <t>CALÇ.</t>
  </si>
  <si>
    <t>BOTA</t>
  </si>
  <si>
    <t>LUVA</t>
  </si>
  <si>
    <t>BAL.</t>
  </si>
  <si>
    <t>CAP.</t>
  </si>
  <si>
    <t>✔</t>
  </si>
  <si>
    <t>EPI PRETO</t>
  </si>
  <si>
    <t>EFETIVO</t>
  </si>
  <si>
    <t>MILITAR</t>
  </si>
  <si>
    <t>FUNÇÃO</t>
  </si>
  <si>
    <t>SARAM</t>
  </si>
  <si>
    <t>BAL</t>
  </si>
  <si>
    <t>CAP</t>
  </si>
  <si>
    <t>INT.</t>
  </si>
  <si>
    <r>
      <rPr>
        <rFont val="Calibri"/>
        <color rgb="FF8D281E"/>
        <sz val="12.0"/>
      </rPr>
      <t xml:space="preserve">2S  </t>
    </r>
    <r>
      <rPr>
        <rFont val="Calibri"/>
        <color rgb="FF8D281E"/>
        <sz val="12.0"/>
      </rPr>
      <t>RAFAEL</t>
    </r>
    <r>
      <rPr>
        <rFont val="Calibri"/>
        <color rgb="FF8D281E"/>
        <sz val="12.0"/>
      </rPr>
      <t xml:space="preserve"> </t>
    </r>
  </si>
  <si>
    <t>CHEFE DE EQUIPE</t>
  </si>
  <si>
    <t>433974-6</t>
  </si>
  <si>
    <t>G</t>
  </si>
  <si>
    <t>001</t>
  </si>
  <si>
    <t>UN</t>
  </si>
  <si>
    <t>---</t>
  </si>
  <si>
    <t>GMM</t>
  </si>
  <si>
    <r>
      <rPr>
        <rFont val="Calibri"/>
        <color rgb="FF8D281E"/>
        <sz val="12.0"/>
      </rPr>
      <t xml:space="preserve">2S  </t>
    </r>
    <r>
      <rPr>
        <rFont val="Calibri"/>
        <color rgb="FF8D281E"/>
        <sz val="12.0"/>
      </rPr>
      <t>KALLEB</t>
    </r>
  </si>
  <si>
    <t>655476-8</t>
  </si>
  <si>
    <t>P</t>
  </si>
  <si>
    <t>002</t>
  </si>
  <si>
    <t>ESTOUE</t>
  </si>
  <si>
    <r>
      <rPr>
        <rFont val="Calibri"/>
        <color rgb="FF8D281E"/>
        <sz val="12.0"/>
      </rPr>
      <t xml:space="preserve">2S  </t>
    </r>
    <r>
      <rPr>
        <rFont val="Calibri"/>
        <color rgb="FF8D281E"/>
        <sz val="12.0"/>
      </rPr>
      <t>MATHEUS</t>
    </r>
  </si>
  <si>
    <t>655458-0</t>
  </si>
  <si>
    <t>M</t>
  </si>
  <si>
    <t>003</t>
  </si>
  <si>
    <t>EM USO</t>
  </si>
  <si>
    <t>2S LUIZA</t>
  </si>
  <si>
    <t>660343-2</t>
  </si>
  <si>
    <t>EG</t>
  </si>
  <si>
    <t>141</t>
  </si>
  <si>
    <t>XL</t>
  </si>
  <si>
    <r>
      <rPr>
        <rFont val="Calibri"/>
        <color rgb="FF8D281E"/>
        <sz val="12.0"/>
      </rPr>
      <t xml:space="preserve">2S  </t>
    </r>
    <r>
      <rPr>
        <rFont val="Calibri"/>
        <color rgb="FF8D281E"/>
        <sz val="12.0"/>
      </rPr>
      <t xml:space="preserve">SAMUEL </t>
    </r>
  </si>
  <si>
    <t>610993-4</t>
  </si>
  <si>
    <t>004</t>
  </si>
  <si>
    <r>
      <rPr>
        <rFont val="Calibri"/>
        <color rgb="FF8D281E"/>
        <sz val="12.0"/>
      </rPr>
      <t xml:space="preserve">2S  </t>
    </r>
    <r>
      <rPr>
        <rFont val="Calibri"/>
        <color rgb="FF8D281E"/>
        <sz val="12.0"/>
      </rPr>
      <t>DANIEL</t>
    </r>
  </si>
  <si>
    <t>655618-3</t>
  </si>
  <si>
    <t>005</t>
  </si>
  <si>
    <t>105</t>
  </si>
  <si>
    <r>
      <rPr>
        <rFont val="Calibri"/>
        <color rgb="FF8D281E"/>
        <sz val="12.0"/>
      </rPr>
      <t xml:space="preserve">2S  </t>
    </r>
    <r>
      <rPr>
        <rFont val="Calibri"/>
        <color rgb="FF8D281E"/>
        <sz val="12.0"/>
      </rPr>
      <t>EVANDER</t>
    </r>
  </si>
  <si>
    <t>605795-0</t>
  </si>
  <si>
    <t>006</t>
  </si>
  <si>
    <t>GG</t>
  </si>
  <si>
    <t>2S  EMILLY REIS</t>
  </si>
  <si>
    <t>671498-6</t>
  </si>
  <si>
    <t>007</t>
  </si>
  <si>
    <r>
      <rPr>
        <rFont val="Calibri"/>
        <color rgb="FF8D281E"/>
        <sz val="12.0"/>
      </rPr>
      <t xml:space="preserve">2S  </t>
    </r>
    <r>
      <rPr>
        <rFont val="Calibri"/>
        <color rgb="FF8D281E"/>
        <sz val="12.0"/>
      </rPr>
      <t>BARTELT</t>
    </r>
  </si>
  <si>
    <t>448998-5</t>
  </si>
  <si>
    <t>008</t>
  </si>
  <si>
    <r>
      <rPr>
        <rFont val="Calibri"/>
        <color rgb="FF8D281E"/>
        <sz val="12.0"/>
      </rPr>
      <t xml:space="preserve">3S  </t>
    </r>
    <r>
      <rPr>
        <rFont val="Calibri"/>
        <color rgb="FF8D281E"/>
        <sz val="12.0"/>
      </rPr>
      <t>G.</t>
    </r>
    <r>
      <rPr>
        <rFont val="Calibri"/>
        <color rgb="FF8D281E"/>
        <sz val="12.0"/>
      </rPr>
      <t xml:space="preserve"> </t>
    </r>
    <r>
      <rPr>
        <rFont val="Calibri"/>
        <color rgb="FF8D281E"/>
        <sz val="12.0"/>
      </rPr>
      <t xml:space="preserve"> FRANCO</t>
    </r>
  </si>
  <si>
    <t>673201-1</t>
  </si>
  <si>
    <t>009</t>
  </si>
  <si>
    <r>
      <rPr>
        <rFont val="Calibri"/>
        <color rgb="FF8D281E"/>
        <sz val="12.0"/>
      </rPr>
      <t xml:space="preserve">3S  </t>
    </r>
    <r>
      <rPr>
        <rFont val="Calibri"/>
        <color rgb="FF8D281E"/>
        <sz val="12.0"/>
      </rPr>
      <t>PRATES</t>
    </r>
  </si>
  <si>
    <t>MOTORISTA</t>
  </si>
  <si>
    <t>695938-5</t>
  </si>
  <si>
    <r>
      <rPr>
        <rFont val="Calibri"/>
        <color rgb="FF8D281E"/>
        <sz val="12.0"/>
      </rPr>
      <t xml:space="preserve">3S  </t>
    </r>
    <r>
      <rPr>
        <rFont val="Calibri"/>
        <color rgb="FF8D281E"/>
        <sz val="12.0"/>
      </rPr>
      <t>FRANÇA</t>
    </r>
  </si>
  <si>
    <t>011</t>
  </si>
  <si>
    <r>
      <rPr>
        <rFont val="Calibri"/>
        <color rgb="FF8D281E"/>
        <sz val="12.0"/>
      </rPr>
      <t xml:space="preserve">3S  </t>
    </r>
    <r>
      <rPr>
        <rFont val="Calibri"/>
        <color rgb="FF8D281E"/>
        <sz val="12.0"/>
      </rPr>
      <t>TEIXEIRA</t>
    </r>
  </si>
  <si>
    <t>741548-6</t>
  </si>
  <si>
    <t>EPI AMARELO</t>
  </si>
  <si>
    <t>3S  SOUZA</t>
  </si>
  <si>
    <t>741558-3</t>
  </si>
  <si>
    <r>
      <rPr>
        <rFont val="Calibri"/>
        <color rgb="FF8D281E"/>
        <sz val="12.0"/>
      </rPr>
      <t xml:space="preserve">3S  </t>
    </r>
    <r>
      <rPr>
        <rFont val="Calibri"/>
        <color rgb="FF8D281E"/>
        <sz val="12.0"/>
      </rPr>
      <t>OLIVEIRA</t>
    </r>
  </si>
  <si>
    <t>370582-0</t>
  </si>
  <si>
    <t>014</t>
  </si>
  <si>
    <r>
      <rPr>
        <rFont val="Calibri"/>
        <color rgb="FF8D281E"/>
        <sz val="12.0"/>
      </rPr>
      <t xml:space="preserve">3S  </t>
    </r>
    <r>
      <rPr>
        <rFont val="Calibri"/>
        <color rgb="FF8D281E"/>
        <sz val="12.0"/>
      </rPr>
      <t>NICACIO</t>
    </r>
  </si>
  <si>
    <t>738733-4</t>
  </si>
  <si>
    <t>015</t>
  </si>
  <si>
    <r>
      <rPr>
        <rFont val="Calibri"/>
        <color rgb="FF8D281E"/>
        <sz val="12.0"/>
      </rPr>
      <t xml:space="preserve">CB  </t>
    </r>
    <r>
      <rPr>
        <rFont val="Calibri"/>
        <color rgb="FF8D281E"/>
        <sz val="12.0"/>
      </rPr>
      <t>R.</t>
    </r>
    <r>
      <rPr>
        <rFont val="Calibri"/>
        <color rgb="FF8D281E"/>
        <sz val="12.0"/>
      </rPr>
      <t xml:space="preserve"> </t>
    </r>
    <r>
      <rPr>
        <rFont val="Calibri"/>
        <color rgb="FF8D281E"/>
        <sz val="12.0"/>
      </rPr>
      <t>CUNHA</t>
    </r>
  </si>
  <si>
    <t>415791-5</t>
  </si>
  <si>
    <t>016</t>
  </si>
  <si>
    <r>
      <rPr>
        <rFont val="Calibri"/>
        <color rgb="FF8D281E"/>
        <sz val="12.0"/>
      </rPr>
      <t xml:space="preserve">CB  </t>
    </r>
    <r>
      <rPr>
        <rFont val="Calibri"/>
        <color rgb="FF8D281E"/>
        <sz val="12.0"/>
      </rPr>
      <t>RUIZ</t>
    </r>
  </si>
  <si>
    <t>759862-9</t>
  </si>
  <si>
    <r>
      <rPr>
        <rFont val="Calibri"/>
        <color rgb="FF8D281E"/>
        <sz val="12.0"/>
      </rPr>
      <t xml:space="preserve">CB  </t>
    </r>
    <r>
      <rPr>
        <rFont val="Calibri"/>
        <color rgb="FF8D281E"/>
        <sz val="12.0"/>
      </rPr>
      <t>SANTOS</t>
    </r>
  </si>
  <si>
    <t>420700-9</t>
  </si>
  <si>
    <r>
      <rPr>
        <rFont val="Calibri"/>
        <color rgb="FF8D281E"/>
        <sz val="12.0"/>
      </rPr>
      <t xml:space="preserve">CB  </t>
    </r>
    <r>
      <rPr>
        <rFont val="Calibri"/>
        <color rgb="FF8D281E"/>
        <sz val="12.0"/>
      </rPr>
      <t>MANAILSON</t>
    </r>
  </si>
  <si>
    <t>618905-9</t>
  </si>
  <si>
    <r>
      <rPr>
        <rFont val="Calibri"/>
        <color rgb="FF8D281E"/>
        <sz val="12.0"/>
      </rPr>
      <t xml:space="preserve">CB  </t>
    </r>
    <r>
      <rPr>
        <rFont val="Calibri"/>
        <color rgb="FF8D281E"/>
        <sz val="12.0"/>
      </rPr>
      <t>BELCHIOR</t>
    </r>
  </si>
  <si>
    <t>RÁDIO OPERADOR</t>
  </si>
  <si>
    <t>769388-5</t>
  </si>
  <si>
    <r>
      <rPr>
        <rFont val="Calibri"/>
        <color rgb="FF8D281E"/>
        <sz val="12.0"/>
      </rPr>
      <t xml:space="preserve">CB  </t>
    </r>
    <r>
      <rPr>
        <rFont val="Calibri"/>
        <color rgb="FF8D281E"/>
        <sz val="12.0"/>
      </rPr>
      <t>GEISLER</t>
    </r>
  </si>
  <si>
    <t>728113-7</t>
  </si>
  <si>
    <r>
      <rPr>
        <rFont val="Calibri"/>
        <color rgb="FF8D281E"/>
        <sz val="12.0"/>
      </rPr>
      <t xml:space="preserve">CB  </t>
    </r>
    <r>
      <rPr>
        <rFont val="Calibri"/>
        <color rgb="FF8D281E"/>
        <sz val="12.0"/>
      </rPr>
      <t>MARTINS</t>
    </r>
  </si>
  <si>
    <t>611019-3</t>
  </si>
  <si>
    <t>144</t>
  </si>
  <si>
    <r>
      <rPr>
        <rFont val="Calibri"/>
        <color rgb="FF8D281E"/>
        <sz val="12.0"/>
      </rPr>
      <t xml:space="preserve">CB  </t>
    </r>
    <r>
      <rPr>
        <rFont val="Calibri"/>
        <color rgb="FF8D281E"/>
        <sz val="12.0"/>
      </rPr>
      <t>LEONARDO</t>
    </r>
  </si>
  <si>
    <t>769304-4</t>
  </si>
  <si>
    <t>145</t>
  </si>
  <si>
    <r>
      <rPr>
        <rFont val="Calibri"/>
        <color rgb="FF8D281E"/>
        <sz val="12.0"/>
      </rPr>
      <t xml:space="preserve">CB  </t>
    </r>
    <r>
      <rPr>
        <rFont val="Calibri"/>
        <color rgb="FF8D281E"/>
        <sz val="12.0"/>
      </rPr>
      <t>DOS SANTOS</t>
    </r>
  </si>
  <si>
    <t xml:space="preserve">COMBATENTE			</t>
  </si>
  <si>
    <t>769386-9</t>
  </si>
  <si>
    <t>146</t>
  </si>
  <si>
    <r>
      <rPr>
        <rFont val="Calibri"/>
        <color rgb="FF8D281E"/>
        <sz val="12.0"/>
      </rPr>
      <t xml:space="preserve">CB  </t>
    </r>
    <r>
      <rPr>
        <rFont val="Calibri"/>
        <color rgb="FF8D281E"/>
        <sz val="12.0"/>
      </rPr>
      <t>FINATTO</t>
    </r>
  </si>
  <si>
    <t>437467-3</t>
  </si>
  <si>
    <r>
      <rPr>
        <rFont val="Calibri"/>
        <color rgb="FF8D281E"/>
        <sz val="12.0"/>
      </rPr>
      <t xml:space="preserve">CB  </t>
    </r>
    <r>
      <rPr>
        <rFont val="Calibri"/>
        <color rgb="FF8D281E"/>
        <sz val="12.0"/>
      </rPr>
      <t>WILLIAM</t>
    </r>
  </si>
  <si>
    <t>769292-7</t>
  </si>
  <si>
    <t>147</t>
  </si>
  <si>
    <r>
      <rPr>
        <rFont val="Calibri"/>
        <color rgb="FF8D281E"/>
        <sz val="12.0"/>
      </rPr>
      <t xml:space="preserve">CB  </t>
    </r>
    <r>
      <rPr>
        <rFont val="Calibri"/>
        <color rgb="FF8D281E"/>
        <sz val="12.0"/>
      </rPr>
      <t>HENZ</t>
    </r>
  </si>
  <si>
    <t>769301-0</t>
  </si>
  <si>
    <t>048</t>
  </si>
  <si>
    <t>CB MUNIZ</t>
  </si>
  <si>
    <t>769343-5</t>
  </si>
  <si>
    <r>
      <rPr>
        <rFont val="Calibri"/>
        <color rgb="FF8D281E"/>
        <sz val="12.0"/>
      </rPr>
      <t xml:space="preserve">CB  </t>
    </r>
    <r>
      <rPr>
        <rFont val="Calibri"/>
        <color rgb="FF8D281E"/>
        <sz val="12.0"/>
      </rPr>
      <t>IGOR SANTOS</t>
    </r>
  </si>
  <si>
    <t xml:space="preserve">RESGATISTA	</t>
  </si>
  <si>
    <t>734354-0</t>
  </si>
  <si>
    <t>150</t>
  </si>
  <si>
    <r>
      <rPr>
        <rFont val="Calibri"/>
        <color rgb="FF8D281E"/>
        <sz val="12.0"/>
      </rPr>
      <t xml:space="preserve">CB  </t>
    </r>
    <r>
      <rPr>
        <rFont val="Calibri"/>
        <color rgb="FF8D281E"/>
        <sz val="12.0"/>
      </rPr>
      <t>NEEMIAS</t>
    </r>
  </si>
  <si>
    <t>769366-4</t>
  </si>
  <si>
    <r>
      <rPr>
        <rFont val="Calibri"/>
        <color rgb="FF8D281E"/>
        <sz val="12.0"/>
      </rPr>
      <t xml:space="preserve">S2  </t>
    </r>
    <r>
      <rPr>
        <rFont val="Calibri"/>
        <color rgb="FF8D281E"/>
        <sz val="12.0"/>
      </rPr>
      <t>SALDÍVIA</t>
    </r>
  </si>
  <si>
    <t>734416-3</t>
  </si>
  <si>
    <t>017</t>
  </si>
  <si>
    <r>
      <rPr>
        <rFont val="Calibri"/>
        <color rgb="FF8D281E"/>
        <sz val="12.0"/>
      </rPr>
      <t xml:space="preserve">S2 </t>
    </r>
    <r>
      <rPr>
        <rFont val="Calibri"/>
        <color rgb="FF8D281E"/>
        <sz val="12.0"/>
      </rPr>
      <t>ELIAS</t>
    </r>
  </si>
  <si>
    <t>750895-6</t>
  </si>
  <si>
    <t>019</t>
  </si>
  <si>
    <r>
      <rPr>
        <rFont val="Calibri"/>
        <color rgb="FF8D281E"/>
        <sz val="12.0"/>
      </rPr>
      <t xml:space="preserve">S2 </t>
    </r>
    <r>
      <rPr>
        <rFont val="Calibri"/>
        <color rgb="FF8D281E"/>
        <sz val="12.0"/>
      </rPr>
      <t>PEDROSO</t>
    </r>
  </si>
  <si>
    <t>754716-1</t>
  </si>
  <si>
    <t>021</t>
  </si>
  <si>
    <r>
      <rPr>
        <rFont val="Calibri"/>
        <color rgb="FF8D281E"/>
        <sz val="12.0"/>
      </rPr>
      <t xml:space="preserve">S2 </t>
    </r>
    <r>
      <rPr>
        <rFont val="Calibri"/>
        <color rgb="FF8D281E"/>
        <sz val="12.0"/>
      </rPr>
      <t>CÉSAR FERREIRA</t>
    </r>
  </si>
  <si>
    <t>763644-0</t>
  </si>
  <si>
    <t>022</t>
  </si>
  <si>
    <t>122</t>
  </si>
  <si>
    <r>
      <rPr>
        <rFont val="Calibri"/>
        <color rgb="FF8D281E"/>
        <sz val="12.0"/>
      </rPr>
      <t xml:space="preserve">S2 </t>
    </r>
    <r>
      <rPr>
        <rFont val="Calibri"/>
        <color rgb="FF8D281E"/>
        <sz val="12.0"/>
      </rPr>
      <t>OTTO</t>
    </r>
  </si>
  <si>
    <t>763606-7</t>
  </si>
  <si>
    <t>052</t>
  </si>
  <si>
    <t>152</t>
  </si>
  <si>
    <t>S2 CORDOVA</t>
  </si>
  <si>
    <t>763669-5</t>
  </si>
  <si>
    <t>023</t>
  </si>
  <si>
    <t>S2 BUTTINGER</t>
  </si>
  <si>
    <t>763569-9</t>
  </si>
  <si>
    <t>053</t>
  </si>
  <si>
    <t>153</t>
  </si>
  <si>
    <t>S2 RENAN</t>
  </si>
  <si>
    <t>763594-0</t>
  </si>
  <si>
    <t>025</t>
  </si>
  <si>
    <t>EXT.</t>
  </si>
  <si>
    <r>
      <rPr>
        <rFont val="Calibri"/>
        <color rgb="FF8D281E"/>
        <sz val="12.0"/>
      </rPr>
      <t xml:space="preserve">3S  </t>
    </r>
    <r>
      <rPr>
        <rFont val="Calibri"/>
        <color rgb="FF8D281E"/>
        <sz val="12.0"/>
      </rPr>
      <t>FANCK</t>
    </r>
  </si>
  <si>
    <t>610962-4</t>
  </si>
  <si>
    <t>010</t>
  </si>
  <si>
    <t>110</t>
  </si>
  <si>
    <t>3S BIAZETTO</t>
  </si>
  <si>
    <t>749536-6</t>
  </si>
  <si>
    <t>3S LIMA</t>
  </si>
  <si>
    <t>749518-8</t>
  </si>
  <si>
    <r>
      <rPr>
        <rFont val="Calibri"/>
        <color rgb="FF8D281E"/>
        <sz val="12.0"/>
      </rPr>
      <t xml:space="preserve">CB </t>
    </r>
    <r>
      <rPr>
        <rFont val="Calibri"/>
        <color rgb="FF8D281E"/>
        <sz val="12.0"/>
      </rPr>
      <t>CÍCERO</t>
    </r>
    <r>
      <rPr>
        <rFont val="Calibri"/>
        <color rgb="FF8D281E"/>
        <sz val="12.0"/>
      </rPr>
      <t xml:space="preserve"> </t>
    </r>
    <r>
      <rPr>
        <rFont val="Calibri"/>
        <color rgb="FF8D281E"/>
        <sz val="12.0"/>
      </rPr>
      <t xml:space="preserve"> SILVA</t>
    </r>
  </si>
  <si>
    <t>LÍDER DE RESGATE</t>
  </si>
  <si>
    <t>694139-7</t>
  </si>
  <si>
    <t>026</t>
  </si>
  <si>
    <r>
      <rPr>
        <rFont val="Calibri"/>
        <color rgb="FF8D281E"/>
        <sz val="12.0"/>
      </rPr>
      <t xml:space="preserve">CB </t>
    </r>
    <r>
      <rPr>
        <rFont val="Calibri"/>
        <color rgb="FF8D281E"/>
        <sz val="12.0"/>
      </rPr>
      <t>C</t>
    </r>
    <r>
      <rPr>
        <rFont val="Calibri"/>
        <color rgb="FF8D281E"/>
        <sz val="12.0"/>
      </rPr>
      <t xml:space="preserve">. </t>
    </r>
    <r>
      <rPr>
        <rFont val="Calibri"/>
        <color rgb="FF8D281E"/>
        <sz val="12.0"/>
      </rPr>
      <t>MACHADO</t>
    </r>
  </si>
  <si>
    <t>713809-1</t>
  </si>
  <si>
    <t>027</t>
  </si>
  <si>
    <r>
      <rPr>
        <rFont val="Calibri"/>
        <color rgb="FF8D281E"/>
        <sz val="12.0"/>
      </rPr>
      <t xml:space="preserve">CB </t>
    </r>
    <r>
      <rPr>
        <rFont val="Calibri"/>
        <color rgb="FF8D281E"/>
        <sz val="12.0"/>
      </rPr>
      <t xml:space="preserve">GABRIEL </t>
    </r>
    <r>
      <rPr>
        <rFont val="Calibri"/>
        <color rgb="FF8D281E"/>
        <sz val="12.0"/>
      </rPr>
      <t xml:space="preserve"> </t>
    </r>
    <r>
      <rPr>
        <rFont val="Calibri"/>
        <color rgb="FF8D281E"/>
        <sz val="12.0"/>
      </rPr>
      <t>CORREA</t>
    </r>
  </si>
  <si>
    <t>713721-4</t>
  </si>
  <si>
    <t>028</t>
  </si>
  <si>
    <t>128</t>
  </si>
  <si>
    <t>CB SPEROTTO</t>
  </si>
  <si>
    <t>713817-2</t>
  </si>
  <si>
    <t>029</t>
  </si>
  <si>
    <t>129</t>
  </si>
  <si>
    <t>CB LEITE</t>
  </si>
  <si>
    <t>713759-1</t>
  </si>
  <si>
    <t>CB LEOTTE</t>
  </si>
  <si>
    <t>713727-3</t>
  </si>
  <si>
    <t>030</t>
  </si>
  <si>
    <t>CB EMERSON</t>
  </si>
  <si>
    <t>769328-1</t>
  </si>
  <si>
    <t>171</t>
  </si>
  <si>
    <t>CB VIANA</t>
  </si>
  <si>
    <t>170</t>
  </si>
  <si>
    <t>CB DANIEL</t>
  </si>
  <si>
    <t>068</t>
  </si>
  <si>
    <t>CB WAGNER DUARTE</t>
  </si>
  <si>
    <t>769377-0</t>
  </si>
  <si>
    <t>167</t>
  </si>
  <si>
    <t>CB NICOLINI</t>
  </si>
  <si>
    <t>713757-5</t>
  </si>
  <si>
    <t>166</t>
  </si>
  <si>
    <t>CB ROBERTO</t>
  </si>
  <si>
    <t>734404-0</t>
  </si>
  <si>
    <t>165</t>
  </si>
  <si>
    <r>
      <rPr>
        <rFont val="Calibri"/>
        <color rgb="FF8D281E"/>
        <sz val="12.0"/>
      </rPr>
      <t xml:space="preserve">S1 </t>
    </r>
    <r>
      <rPr>
        <rFont val="Calibri"/>
        <color rgb="FF8D281E"/>
        <sz val="12.0"/>
      </rPr>
      <t>JACOBI</t>
    </r>
  </si>
  <si>
    <t>728120-0</t>
  </si>
  <si>
    <t>031</t>
  </si>
  <si>
    <t>131</t>
  </si>
  <si>
    <t>S1 JOÃO GABRIEL</t>
  </si>
  <si>
    <t>734433-3</t>
  </si>
  <si>
    <t>154</t>
  </si>
  <si>
    <t>S1 FABRYCIO</t>
  </si>
  <si>
    <t>734359-0</t>
  </si>
  <si>
    <t>036</t>
  </si>
  <si>
    <t>018</t>
  </si>
  <si>
    <t>155</t>
  </si>
  <si>
    <r>
      <rPr>
        <rFont val="Calibri"/>
        <color rgb="FF8D281E"/>
        <sz val="12.0"/>
      </rPr>
      <t xml:space="preserve">S2 </t>
    </r>
    <r>
      <rPr>
        <rFont val="Calibri"/>
        <color rgb="FF8D281E"/>
        <sz val="12.0"/>
      </rPr>
      <t xml:space="preserve">SIQUEIRA </t>
    </r>
  </si>
  <si>
    <t>744822-8</t>
  </si>
  <si>
    <t>032</t>
  </si>
  <si>
    <r>
      <rPr>
        <rFont val="Calibri"/>
        <color rgb="FF8D281E"/>
        <sz val="12.0"/>
      </rPr>
      <t xml:space="preserve">S2 </t>
    </r>
    <r>
      <rPr>
        <rFont val="Calibri"/>
        <color rgb="FF8D281E"/>
        <sz val="12.0"/>
      </rPr>
      <t>LANG</t>
    </r>
  </si>
  <si>
    <t>750825-5</t>
  </si>
  <si>
    <t>033</t>
  </si>
  <si>
    <t>133</t>
  </si>
  <si>
    <r>
      <rPr>
        <rFont val="Calibri"/>
        <color rgb="FF8D281E"/>
        <sz val="12.0"/>
      </rPr>
      <t xml:space="preserve">S2 </t>
    </r>
    <r>
      <rPr>
        <rFont val="Calibri"/>
        <color rgb="FF8D281E"/>
        <sz val="12.0"/>
      </rPr>
      <t>FONTES</t>
    </r>
  </si>
  <si>
    <t>750873-5</t>
  </si>
  <si>
    <t>034</t>
  </si>
  <si>
    <t>134</t>
  </si>
  <si>
    <r>
      <rPr>
        <rFont val="Calibri"/>
        <color rgb="FF8D281E"/>
        <sz val="12.0"/>
      </rPr>
      <t xml:space="preserve">S2 </t>
    </r>
    <r>
      <rPr>
        <rFont val="Calibri"/>
        <color rgb="FF8D281E"/>
        <sz val="12.0"/>
      </rPr>
      <t>FRANÇA</t>
    </r>
  </si>
  <si>
    <t>750796-8</t>
  </si>
  <si>
    <t>013</t>
  </si>
  <si>
    <t>113</t>
  </si>
  <si>
    <r>
      <rPr>
        <rFont val="Calibri"/>
        <color rgb="FF8D281E"/>
        <sz val="12.0"/>
      </rPr>
      <t xml:space="preserve">S2 </t>
    </r>
    <r>
      <rPr>
        <rFont val="Calibri"/>
        <color rgb="FF8D281E"/>
        <sz val="12.0"/>
      </rPr>
      <t>KRONBAUER</t>
    </r>
  </si>
  <si>
    <t>750808-5</t>
  </si>
  <si>
    <t>156</t>
  </si>
  <si>
    <r>
      <rPr>
        <rFont val="Calibri"/>
        <color rgb="FF8D281E"/>
        <sz val="12.0"/>
      </rPr>
      <t xml:space="preserve">S2 </t>
    </r>
    <r>
      <rPr>
        <rFont val="Calibri"/>
        <color rgb="FF8D281E"/>
        <sz val="12.0"/>
      </rPr>
      <t>DE SÁ</t>
    </r>
  </si>
  <si>
    <t>750802-6</t>
  </si>
  <si>
    <t>035</t>
  </si>
  <si>
    <t>135</t>
  </si>
  <si>
    <r>
      <rPr>
        <rFont val="Calibri"/>
        <color rgb="FF8D281E"/>
        <sz val="12.0"/>
      </rPr>
      <t xml:space="preserve">S2 </t>
    </r>
    <r>
      <rPr>
        <rFont val="Calibri"/>
        <color rgb="FF8D281E"/>
        <sz val="12.0"/>
      </rPr>
      <t>JÚLIO</t>
    </r>
  </si>
  <si>
    <t>763586-9</t>
  </si>
  <si>
    <t>057</t>
  </si>
  <si>
    <t>157</t>
  </si>
  <si>
    <r>
      <rPr>
        <rFont val="Calibri"/>
        <color rgb="FF8D281E"/>
        <sz val="12.0"/>
      </rPr>
      <t xml:space="preserve">S2 </t>
    </r>
    <r>
      <rPr>
        <rFont val="Calibri"/>
        <color rgb="FF8D281E"/>
        <sz val="12.0"/>
      </rPr>
      <t>J.</t>
    </r>
    <r>
      <rPr>
        <rFont val="Calibri"/>
        <color rgb="FF8D281E"/>
        <sz val="12.0"/>
      </rPr>
      <t xml:space="preserve"> </t>
    </r>
    <r>
      <rPr>
        <rFont val="Calibri"/>
        <color rgb="FF8D281E"/>
        <sz val="12.0"/>
      </rPr>
      <t>SOUZA</t>
    </r>
  </si>
  <si>
    <t>763604-0</t>
  </si>
  <si>
    <t>158</t>
  </si>
  <si>
    <r>
      <rPr>
        <rFont val="Calibri"/>
        <color rgb="FF8D281E"/>
        <sz val="12.0"/>
      </rPr>
      <t xml:space="preserve">S2 </t>
    </r>
    <r>
      <rPr>
        <rFont val="Calibri"/>
        <color rgb="FF8D281E"/>
        <sz val="12.0"/>
      </rPr>
      <t>FERREIRA</t>
    </r>
    <r>
      <rPr>
        <rFont val="Calibri"/>
        <color rgb="FF8D281E"/>
        <sz val="12.0"/>
      </rPr>
      <t xml:space="preserve"> </t>
    </r>
    <r>
      <rPr>
        <rFont val="Calibri"/>
        <color rgb="FF8D281E"/>
        <sz val="12.0"/>
      </rPr>
      <t>SOUZA</t>
    </r>
  </si>
  <si>
    <t>763653-9</t>
  </si>
  <si>
    <t>059</t>
  </si>
  <si>
    <t>159</t>
  </si>
  <si>
    <r>
      <rPr>
        <rFont val="Calibri"/>
        <color rgb="FF8D281E"/>
        <sz val="12.0"/>
      </rPr>
      <t xml:space="preserve">S2 </t>
    </r>
    <r>
      <rPr>
        <rFont val="Calibri"/>
        <color rgb="FF8D281E"/>
        <sz val="12.0"/>
      </rPr>
      <t>PAIXÃO</t>
    </r>
  </si>
  <si>
    <t>763663-6</t>
  </si>
  <si>
    <t>060</t>
  </si>
  <si>
    <t>160</t>
  </si>
  <si>
    <r>
      <rPr>
        <rFont val="Calibri"/>
        <color rgb="FF8D281E"/>
        <sz val="12.0"/>
      </rPr>
      <t xml:space="preserve">S2 </t>
    </r>
    <r>
      <rPr>
        <rFont val="Calibri"/>
        <color rgb="FF8D281E"/>
        <sz val="12.0"/>
      </rPr>
      <t>NYCOLAS ROSA</t>
    </r>
  </si>
  <si>
    <t>763587-7</t>
  </si>
  <si>
    <t>061</t>
  </si>
  <si>
    <t>161</t>
  </si>
  <si>
    <r>
      <rPr>
        <rFont val="Calibri"/>
        <color rgb="FF8D281E"/>
        <sz val="12.0"/>
      </rPr>
      <t xml:space="preserve">S2 </t>
    </r>
    <r>
      <rPr>
        <rFont val="Calibri"/>
        <color rgb="FF8D281E"/>
        <sz val="12.0"/>
      </rPr>
      <t>MARCOS</t>
    </r>
  </si>
  <si>
    <t>763638-5</t>
  </si>
  <si>
    <t>062</t>
  </si>
  <si>
    <t>162</t>
  </si>
  <si>
    <r>
      <rPr>
        <rFont val="Calibri"/>
        <color rgb="FF8D281E"/>
        <sz val="12.0"/>
      </rPr>
      <t xml:space="preserve">S2 </t>
    </r>
    <r>
      <rPr>
        <rFont val="Calibri"/>
        <color rgb="FF8D281E"/>
        <sz val="12.0"/>
      </rPr>
      <t>GIULIANO</t>
    </r>
  </si>
  <si>
    <t>763584-2</t>
  </si>
  <si>
    <t>163</t>
  </si>
  <si>
    <t>S2 DALSSASSO</t>
  </si>
  <si>
    <t>763667-9</t>
  </si>
  <si>
    <t>164</t>
  </si>
  <si>
    <t>S2 HENKES</t>
  </si>
  <si>
    <t>750787-9</t>
  </si>
  <si>
    <t>172</t>
  </si>
  <si>
    <t>S2 RECK</t>
  </si>
  <si>
    <t>754691-2</t>
  </si>
  <si>
    <t>173</t>
  </si>
  <si>
    <t>S2LOUREIRO</t>
  </si>
  <si>
    <t>759933-1</t>
  </si>
  <si>
    <t>024</t>
  </si>
  <si>
    <t>020</t>
  </si>
  <si>
    <t>S2 BORGES</t>
  </si>
  <si>
    <t>759988-9</t>
  </si>
  <si>
    <t>175</t>
  </si>
  <si>
    <t>S2 LATORRE</t>
  </si>
  <si>
    <t>759956-0</t>
  </si>
  <si>
    <t>176</t>
  </si>
  <si>
    <t>S2 ABREU</t>
  </si>
  <si>
    <t>759992-7</t>
  </si>
  <si>
    <t>177</t>
  </si>
  <si>
    <t>S2 JACOBSEN</t>
  </si>
  <si>
    <t>759943-9</t>
  </si>
  <si>
    <t>178</t>
  </si>
  <si>
    <t>S2 MARTINS</t>
  </si>
  <si>
    <t>179</t>
  </si>
  <si>
    <t>S2 J SANTOS</t>
  </si>
  <si>
    <t>768589-0</t>
  </si>
  <si>
    <t>180</t>
  </si>
  <si>
    <t>S2 RICHARD</t>
  </si>
  <si>
    <t>768590-4</t>
  </si>
  <si>
    <t>181</t>
  </si>
  <si>
    <t>S2 SANCHES</t>
  </si>
  <si>
    <t>768570-0</t>
  </si>
  <si>
    <t>182</t>
  </si>
  <si>
    <t>EST.</t>
  </si>
  <si>
    <t>RESERVA</t>
  </si>
  <si>
    <t>------------</t>
  </si>
  <si>
    <t>012</t>
  </si>
  <si>
    <t>037</t>
  </si>
  <si>
    <t>SETOR</t>
  </si>
  <si>
    <t>BMP</t>
  </si>
  <si>
    <t>SITUAÇÃO</t>
  </si>
  <si>
    <t>DOCUMENTO</t>
  </si>
  <si>
    <t xml:space="preserve">                DESCRIÇÃO DO MATERIAL</t>
  </si>
  <si>
    <t>CONS. DURAD.</t>
  </si>
  <si>
    <t>...............…..</t>
  </si>
  <si>
    <t>Pulverizador De Fumaça Para Apicultor</t>
  </si>
  <si>
    <t>Luvas De Pvc Forrada Co 70cm Na Cor Verde</t>
  </si>
  <si>
    <t>Luvas De Pvc Forrada Co 46cm Na Cor Verde</t>
  </si>
  <si>
    <t>Cinturão De Segurança Tipo Abdominal</t>
  </si>
  <si>
    <t>Capa De Chuva Em Pvc T - 50</t>
  </si>
  <si>
    <t>ARMAZ.</t>
  </si>
  <si>
    <t>Bota Preta Em Borracha De Cano Médio</t>
  </si>
  <si>
    <t>Luva De Raspa De Couro 20cm</t>
  </si>
  <si>
    <t>Croque Com Cabo Telescópio Em 3m</t>
  </si>
  <si>
    <t>Macacão Em Pvc Tipo Saneamento Grande</t>
  </si>
  <si>
    <t>Adaptador De Rosca 2 ¹/2</t>
  </si>
  <si>
    <t>Luva De Aproximação De Fogo</t>
  </si>
  <si>
    <t>Tampão De 2 ¹/2</t>
  </si>
  <si>
    <t>Redução De 2 ¹/2 Para 1 ¹/2</t>
  </si>
  <si>
    <t>Colar Cervical Tamanho Médio</t>
  </si>
  <si>
    <t>Colar Cervical Tamanho Grande</t>
  </si>
  <si>
    <t>Mangueira Sintex 1 ¹/2</t>
  </si>
  <si>
    <t>Mangueira Sintex 1 ¹/2 De 15cm</t>
  </si>
  <si>
    <t>Capacete De Proteção Para Bombeiro</t>
  </si>
  <si>
    <t>Chave Tipo "T"</t>
  </si>
  <si>
    <t>Colete De Imobilização Adulto</t>
  </si>
  <si>
    <t>Óculos De Segurança Amarelo</t>
  </si>
  <si>
    <t>Prancha Med. 1,85m X 48,50, Com 3 Peças</t>
  </si>
  <si>
    <t>Capuz Tipo Balaclava Em Malha De Nomex</t>
  </si>
  <si>
    <t>Conjunto De Imobilização De Cabeça Para Resgate</t>
  </si>
  <si>
    <t>OREI DEP.</t>
  </si>
  <si>
    <t>Bolsa Térmica Para Acondicionamento De Material De Emergência E Resgate</t>
  </si>
  <si>
    <t>Conjunto De Talas Fácil Inflável</t>
  </si>
  <si>
    <t>Kit Holster Contendo: 01 Tesoura, 01 Pinça, 01 Lanterna Tipo Caneta, 01 Termômetro E 01 Canivete</t>
  </si>
  <si>
    <t>Alicate De Corte Com Cabo Isolado</t>
  </si>
  <si>
    <t>Avental Para Proteção De Tronco E Pernas</t>
  </si>
  <si>
    <t>Capa De Proteção Para Extintor De Incêndio Do Tipo Ap-10l</t>
  </si>
  <si>
    <t>Capa De Proteção Para Extintor De Incêndio Do Tipo Em-09l</t>
  </si>
  <si>
    <t>Capa De Proteção Para Extintor De Incêndio Do Tipo Pp-12kg</t>
  </si>
  <si>
    <t>Capa De Proteção Para Extintor De Incêndio Do Tipo Co2-04kg</t>
  </si>
  <si>
    <t>Enxada De Cabo</t>
  </si>
  <si>
    <t>Faca Com Ponta Cega P/ Cortar Cinto De Segurança</t>
  </si>
  <si>
    <t>Jogo De Chaves Phillips Com 05(Cinco) Peças</t>
  </si>
  <si>
    <t>Jogo De Chaves L Medindo De 8 À 19mm</t>
  </si>
  <si>
    <t>Jogo De Lima De Aço Contaendo 03(Três) Peças</t>
  </si>
  <si>
    <t>Luva De Raspa Cano Curto</t>
  </si>
  <si>
    <t>Machadinha De Salvamento Com Limitador</t>
  </si>
  <si>
    <t>Machado De Salvamento Com Limitador</t>
  </si>
  <si>
    <t>Óculos De Segurança Ref. S-0250-X</t>
  </si>
  <si>
    <t>Óculos De Segurança Ref. S-0290-X</t>
  </si>
  <si>
    <t>Serrote De 2-" P/ Corte De Madeira</t>
  </si>
  <si>
    <t>Capacete De Bombeiro Vermelho</t>
  </si>
  <si>
    <t>Capa De Aproximação Anti-Chama</t>
  </si>
  <si>
    <t>Abafador De Ruido Tipo Concha</t>
  </si>
  <si>
    <t>Blusão De Combtae A Incêndio Multicamadas</t>
  </si>
  <si>
    <t>Calça Para Combate A Incêndio</t>
  </si>
  <si>
    <t>Bota Especial Para Bombeiro</t>
  </si>
  <si>
    <t>Esguicho Tipo Cac 2 ¹/2</t>
  </si>
  <si>
    <t>Ralo De Sucção</t>
  </si>
  <si>
    <t>Mangote De Borracha Para Sucção</t>
  </si>
  <si>
    <t>Mangueira 1 ¹/2 30m</t>
  </si>
  <si>
    <t>Mangueira 1 ¹/2 15m</t>
  </si>
  <si>
    <t>Mangueira 2 ¹/2 15m</t>
  </si>
  <si>
    <t>Derivante Em "Y"</t>
  </si>
  <si>
    <t>Esguicho Tipo 1 ¹/2</t>
  </si>
  <si>
    <t>Macacão Confeccionado Em Tychem "Tk" Nivel A</t>
  </si>
  <si>
    <t>Cinto Para Salvamento E Resgate Completo</t>
  </si>
  <si>
    <t>Mochila Flexivel Para Combate A Incêndio Dotada De Bomba Manual</t>
  </si>
  <si>
    <t>Colchao Em Espuma Revestido Em Tecido Azul</t>
  </si>
  <si>
    <t>Macacão Em Pvc Tipo Saneamento Pequeno</t>
  </si>
  <si>
    <t>Arco De Serra</t>
  </si>
  <si>
    <t>Alicate De Pressão 10"</t>
  </si>
  <si>
    <t>Alicate De Bico Reto</t>
  </si>
  <si>
    <t>Alicate De Bico Curvo Com Cabo Isolado</t>
  </si>
  <si>
    <t>Alicate Universal Com Cabo Isolado</t>
  </si>
  <si>
    <t>Jogo De Chaves Ajustáveis Medindo 6", 8", 10", 15", 18" E 24"</t>
  </si>
  <si>
    <t>Chave De Grifo 24"</t>
  </si>
  <si>
    <t>Martelo De Bola Com 500g</t>
  </si>
  <si>
    <t>Martelo De Borracha Com 60mm</t>
  </si>
  <si>
    <t>Jogo De Chave De Estria</t>
  </si>
  <si>
    <t>Chave Tipo Corrente Pequena</t>
  </si>
  <si>
    <t>Chave De Corrente Média</t>
  </si>
  <si>
    <t>Alicate Tipo Bomba D'Água</t>
  </si>
  <si>
    <t>Jogo De Chave De Soquete</t>
  </si>
  <si>
    <t>Marreta De 1500g Com Cabo</t>
  </si>
  <si>
    <t>Jogo De Chave "L", De 8 A 19mm</t>
  </si>
  <si>
    <t>Jogo De Chave Allen, De 2 A 10mm</t>
  </si>
  <si>
    <t>Jogo De Chave De Boca De 6 A 32mm</t>
  </si>
  <si>
    <t>Jogo De Chave De Fenda Com 6 Peças</t>
  </si>
  <si>
    <t>Jogo De Chave Phillips Com 5 Peças</t>
  </si>
  <si>
    <t>Jogo De Lima De Aço. Com 3 Peças</t>
  </si>
  <si>
    <t>Caixa De Entrada De Saida De Documentos</t>
  </si>
  <si>
    <t>Furador De Papel</t>
  </si>
  <si>
    <t>Suporte Para Carimbo</t>
  </si>
  <si>
    <t>Tesoura Para Escritório</t>
  </si>
  <si>
    <t>Grampeador</t>
  </si>
  <si>
    <t>Cesto Para Papéis</t>
  </si>
  <si>
    <t>Extrator De Grampos</t>
  </si>
  <si>
    <t>Machado De Salvamento Com Limitador Comp 370mm</t>
  </si>
  <si>
    <t>Chave Philips 3/16pol X 4pol Ou 5x100mm</t>
  </si>
  <si>
    <t>Chave Philips 1/4pol X 6pol Ou 6x150mm</t>
  </si>
  <si>
    <t>Chave Philips 1/8pol X 3pol Ou 3x75mm.</t>
  </si>
  <si>
    <t>Chave De Fenda 1/4pol X 5pol Ou 5x125mm.</t>
  </si>
  <si>
    <t>Chave De Fenda 3/16pol Ou 5x100mm</t>
  </si>
  <si>
    <t>DESCRIÇÃO DO MATERIAL</t>
  </si>
  <si>
    <t>DESCARREGADO</t>
  </si>
  <si>
    <t>SUBP. 5303</t>
  </si>
  <si>
    <t>Extintor De Incêndio Tipo Emp-10l. (SISPAT: 33920042 - FCG: 3392)</t>
  </si>
  <si>
    <t>Extintor De Incêndio Tipo Emp-10l. (SISPAT: 33920043 - FCG: 3392)</t>
  </si>
  <si>
    <t>Extintor De Incêndio Tipo Emp-10l. (SISPAT: 33920044 - FCG: 3392)</t>
  </si>
  <si>
    <t>Extintor De Incêndio Tipo Emp-10l. (SISPAT: 33920045 - FCG: 3392)</t>
  </si>
  <si>
    <t>Extintor De Incêndio Tipo Emp-10l. (SISPAT: 33920046 - FCG: 3392)</t>
  </si>
  <si>
    <t>Extintor De Incêndio Tipo Emp-10l. (SISPAT: 33920040 - FCG: 3392)</t>
  </si>
  <si>
    <t>Extintor De Incêndio Tipo Emp-10l. (SISPAT: 33920041 - FCG: 3392)</t>
  </si>
  <si>
    <t>Extintor De Incêndio Tipo Emp-10l. (SISPAT: 33920047 - FCG: 3392)</t>
  </si>
  <si>
    <t>Extintor De Incêndio Tipo Emp-10l. (SISPAT: 33920048 - FCG: 3392)</t>
  </si>
  <si>
    <t>Extintor De Incêndio Tipo Emp-10l. (SISPAT: 33920049 - FCG: 3392)</t>
  </si>
  <si>
    <t>Extintor De Incêndio Tipo Emp-10l. (SISPAT: 33920050 - FCG: 3392)</t>
  </si>
  <si>
    <t>Extintor De Incêndio Tipo Emp-10l. (SISPAT: 33920051 - FCG: 3392)</t>
  </si>
  <si>
    <t>Extintor De Incêndio Tipo Emp-10l. (SISPAT: 33920052 - FCG: 3392)</t>
  </si>
  <si>
    <t>Extintor De Incêndio Tipo Emp-10l. (SISPAT: 33920053 - FCG: 3392)</t>
  </si>
  <si>
    <t>Extintor De Incêndio Tipo Emp-10l. (SISPAT: 33920054 - FCG: 3392)</t>
  </si>
  <si>
    <t>Extintor De Incêndio Tipo Emp-10l. (SISPAT: 33920055 - FCG: 3392)</t>
  </si>
  <si>
    <t>Extintor De Incêndio Tipo Emp-10l. (SISPAT: 33920056 - FCG: 3392)</t>
  </si>
  <si>
    <t>Extintor De Incêndio Tipo Emp-10l. (SISPAT: 33920057 - FCG: 3392)</t>
  </si>
  <si>
    <t>Extintor De Incêndio Tipo Emp-10l. (SISPAT: 33920058 - FCG: 3392)</t>
  </si>
  <si>
    <t>Extintor De Incêndio Tipo Emp-10l. (SISPAT: 33920059 - FCG: 3392)</t>
  </si>
  <si>
    <t>Extintor De Incêndio Tipo Emp-10l. (SISPAT: 33920060 - FCG: 3392)</t>
  </si>
  <si>
    <t>Extintor De Incêndio Tipo Ap-10l. (SISPAT: 33970001 - FCG: 3397)</t>
  </si>
  <si>
    <t>Extintor De Incêndio Tipo Ap-10l. (SISPAT: 33970002 - FCG: 3397)</t>
  </si>
  <si>
    <t>Extintor De Incêndio Tipo Ap-10l. (SISPAT: 33970003 - FCG: 3397)</t>
  </si>
  <si>
    <t>Extintor De Incêndio Tipo Ap-10l. (SISPAT: 33970004 - FCG: 3397)</t>
  </si>
  <si>
    <t>Extintor De Incêndio Tipo Ap-10l. (SISPAT: 33970005 - FCG: 3397)</t>
  </si>
  <si>
    <t>Extintor De Incêndio Tipo Ap-10l. (SISPAT: 33970008 - FCG: 3397)</t>
  </si>
  <si>
    <t>Extintor De Incêndio Tipo Ap-10l. (SISPAT: 33970009 - FCG: 3397)</t>
  </si>
  <si>
    <t>Extintor De Incêndio Tipo Ap-10l. (SISPAT: 33970010 - FCG: 3397)</t>
  </si>
  <si>
    <t>Extintor De Incêndio Tipo Ap-10l. (SISPAT: 33970011 - FCG: 3397)</t>
  </si>
  <si>
    <t>Extintor De Incêndio Tipo Ap-10l. (SISPAT: 33970012 - FCG: 3397)</t>
  </si>
  <si>
    <t>Extintor De Incêndio Tipo Ap-10l. (SISPAT: 33970006 - FCG: 3397)</t>
  </si>
  <si>
    <t>Extintor De Incêndio Tipo Ap-10l. (SISPAT: 33970007 - FCG: 3397)</t>
  </si>
  <si>
    <t>Extintor De Incêndio Tipo Ap-10l. (SISPAT: 33970013 - FCG: 3397)</t>
  </si>
  <si>
    <t>Extintor De Incêndio Tipo Ap-10l. (SISPAT: 33970014 - FCG: 3397)</t>
  </si>
  <si>
    <t>Extintor De Incêndio Tipo Ap-10l. (SISPAT: 33970015 - FCG: 3397)</t>
  </si>
  <si>
    <t>Extintor De Incêndio Tipo Ap-10l. (SISPAT: 33970016 - FCG: 3397)</t>
  </si>
  <si>
    <t>Extintor De Incêndio Tipo Ap-10l. (SISPAT: 33970017 - FCG: 3397)</t>
  </si>
  <si>
    <t>Extintor De Incêndio Tipo Ap-10l. (SISPAT: 33970018 - FCG: 3397)</t>
  </si>
  <si>
    <t>Extintor De Incêndio Tipo Ap-10l. (SISPAT: 33970019 - FCG: 3397)</t>
  </si>
  <si>
    <t>Extintor De Incêndio Tipo Ap-10l. (SISPAT: 33970020 - FCG: 3397)</t>
  </si>
  <si>
    <t>Extintor De Incêndio Tipo Ap-10l. (SISPAT: 33970021 - FCG: 3397)</t>
  </si>
  <si>
    <t>Extintor De Incêndio Tipo Ap-10l. (SISPAT: 33970022 - FCG: 3397)</t>
  </si>
  <si>
    <t>Extintor De Incêndio Tipo Ap-10l. (SISPAT: 33970023 - FCG: 3397)</t>
  </si>
  <si>
    <t>Extintor De Incêndio Tipo Ap-10l. (SISPAT: 33970024 - FCG: 3397)</t>
  </si>
  <si>
    <t>Extintor De Incêndio Tipo Ap-10l. (SISPAT: 33970025 - FCG: 3397)</t>
  </si>
  <si>
    <t>Extintor De Incêndio Tipo Ap-10l. (SISPAT: 33970026 - FCG: 3397)</t>
  </si>
  <si>
    <t>Extintor De Incêndio Tipo Ap-10l. (SISPAT: 33970027 - FCG: 3397)</t>
  </si>
  <si>
    <t>Extintor De Incêndio Tipo Ap-10l. (SISPAT: 33970028 - FCG: 3397)</t>
  </si>
  <si>
    <t>Extintor De Incêndio Tipo Ap-10l. (SISPAT: 33970029 - FCG: 3397)</t>
  </si>
  <si>
    <t>Extintor De Incêndio Tipo Ap-10l. (SISPAT: 33970030 - FCG: 3397)</t>
  </si>
  <si>
    <t>Extintor De Incêndio Tipo Ap-10l. (SISPAT: 33970031 - FCG: 3397)</t>
  </si>
  <si>
    <t>Extintor De Incêndio, Tipo Ap-10 Litros. (SISPAT: 26621 - FCG: 15453)</t>
  </si>
  <si>
    <t>Extintor De Incêndio, Tipo Ap-10 Litros. (SISPAT: 26622 - FCG: 15453)</t>
  </si>
  <si>
    <t>Extintor De Incêndio, Tipo Ap-10 Litros. (SISPAT: 26623 - FCG: 15453)</t>
  </si>
  <si>
    <t>Extintor De Incêndio, Tipo Ap-10 Litros. (SISPAT: 26624 - FCG: 15453)</t>
  </si>
  <si>
    <t>Extintor De Incêndio, Tipo Ap-10 Litros. (SISPAT: 26625 - FCG: 15453)</t>
  </si>
  <si>
    <t>Extintor De Incêndio, Tipo Ap-10 Litros. (SISPAT: 26626 - FCG: 15453)</t>
  </si>
  <si>
    <t>Extintor De Incêndio, Tipo Ap-10 Litros. (SISPAT: 26627 - FCG: 15453)</t>
  </si>
  <si>
    <t>Extintor De Incêndio, Tipo Ap-10 Litros. (SISPAT: 26628 - FCG: 15453)</t>
  </si>
  <si>
    <t>Extintor De Incêndio, Tipo Ap-10 Litros. (SISPAT: 26629 - FCG: 15453)</t>
  </si>
  <si>
    <t>Extintor De Incêndio, Tipo Ap-10 Litros. (SISPAT: 26630 - FCG: 15453)</t>
  </si>
  <si>
    <t>Extintor De Incêndio, Tipo Ap-10 Litros. (SISPAT: 26631 - FCG: 15453)</t>
  </si>
  <si>
    <t>Extintor De Incêndio, Tipo Ap-10 Litros. (SISPAT: 26632 - FCG: 15453)</t>
  </si>
  <si>
    <t>Extintor De Incêndio, Tipo Ap-10 Litros. (SISPAT: 26633 - FCG: 15453)</t>
  </si>
  <si>
    <t>Extintor De Incêndio, Tipo Ap-10 Litros. (SISPAT: 26634 - FCG: 15453)</t>
  </si>
  <si>
    <t>Extintor De Incêndio, Tipo Ap-10 Litros. (SISPAT: 26635 - FCG: 15453)</t>
  </si>
  <si>
    <t>Extintor De Incêndio, Tipo Ap-10 Litros. (SISPAT: 26636 - FCG: 15453)</t>
  </si>
  <si>
    <t>Extintor De Incêndio, Tipo Ap-10 Litros. (SISPAT: 26637 - FCG: 15453)</t>
  </si>
  <si>
    <t>Extintor De Incêndio, Tipo Ap-10 Litros. (SISPAT: 26638 - FCG: 15453)</t>
  </si>
  <si>
    <t>Extintor De Incêndio, Tipo Ap-10 Litros. (SISPAT: 26639 - FCG: 15453)</t>
  </si>
  <si>
    <t>Extintor De Incêndio, Tipo Ap-10 Litros. (SISPAT: 26640 - FCG: 15453)</t>
  </si>
  <si>
    <t>Extintor De Incêndio, Tipo Ap-10 Litros. (SISPAT: 26641 - FCG: 15453)</t>
  </si>
  <si>
    <t>Extintor De Incêndio, Tipo Ap-10 Litros. (SISPAT: 26642 - FCG: 15453)</t>
  </si>
  <si>
    <t>Extintor De Incêndio, Tipo Ap-10 Litros. (SISPAT: 26643 - FCG: 15453)</t>
  </si>
  <si>
    <t>Extintor De Incêndio, Tipo Ap-10 Litros. (SISPAT: 26644 - FCG: 15453)</t>
  </si>
  <si>
    <t>Extintor De Incêndio, Tipo Ap-10 Litros. (SISPAT: 26645 - FCG: 15453)</t>
  </si>
  <si>
    <t>Extintor De Incêndio, Tipo Ap-10 Litros. (SISPAT: 26646 - FCG: 15453)</t>
  </si>
  <si>
    <t>Extintor De Incêndio, Tipo Ap-10 Litros. (SISPAT: 26647 - FCG: 15453)</t>
  </si>
  <si>
    <t>Extintor De Incêndio, Tipo Ap-10 Litros. (SISPAT: 26648 - FCG: 15453)</t>
  </si>
  <si>
    <t>Extintor De Incêndio Tipo Ap-10l. (SISPAT: 33970034 - FCG: 3397)</t>
  </si>
  <si>
    <t>Extintor De Incêndio Tipo Ap-10l. (SISPAT: 33970035 - FCG: 3397)</t>
  </si>
  <si>
    <t>Extintor De Incêndio Tipo Ap-10l. (SISPAT: 33970036 - FCG: 3397)</t>
  </si>
  <si>
    <t>Extintor De Incêndio Tipo Ap-10l. (SISPAT: 33970037 - FCG: 3397)</t>
  </si>
  <si>
    <t>Extintor De Incêndio Tipo Ap-10l. (SISPAT: 33970038 - FCG: 3397)</t>
  </si>
  <si>
    <t>Extintor De Incêndio Tipo Ap-10l. (SISPAT: 33970032 - FCG: 3397)</t>
  </si>
  <si>
    <t>Extintor De Incêndio Tipo Ap-10l. (SISPAT: 33970033 - FCG: 3397)</t>
  </si>
  <si>
    <t>Extintor De Incêndio Tipo Ap-10l. (SISPAT: 33970039 - FCG: 3397)</t>
  </si>
  <si>
    <t>Extintor De Incêndio Tipo Ap-10l. (SISPAT: 33970040 - FCG: 3397)</t>
  </si>
  <si>
    <t>Extintor De Incêndio Tipo Ap-10l. (SISPAT: 33970041 - FCG: 3397)</t>
  </si>
  <si>
    <t>Extintor De Incêndio Tipo Ap-10l. (SISPAT: 33970042 - FCG: 3397)</t>
  </si>
  <si>
    <t>Extintor De Incêndio Tipo Ap-10l. (SISPAT: 33970043 - FCG: 3397)</t>
  </si>
  <si>
    <t>Extintor De Incêndio Tipo Ap-10l. (SISPAT: 33970044 - FCG: 3397)</t>
  </si>
  <si>
    <t>Extintor De Incêndio Tipo Ap-10l. (SISPAT: 33970045 - FCG: 3397)</t>
  </si>
  <si>
    <t>Extintor De Incêndio Tipo Ap-10l. (SISPAT: 33970046 - FCG: 3397)</t>
  </si>
  <si>
    <t>Extintor De Incêndio Tipo Ap-10l. (SISPAT: 33970047 - FCG: 3397)</t>
  </si>
  <si>
    <t>Extintor De Incêndio Tipo Ap-10l. (SISPAT: 33970048 - FCG: 3397)</t>
  </si>
  <si>
    <t>Extintor De Incêndio Tipo Ap-10l. (SISPAT: 33970049 - FCG: 3397)</t>
  </si>
  <si>
    <t>Extintor De Incêndio Tipo Ap-10l. (SISPAT: 33970050 - FCG: 3397)</t>
  </si>
  <si>
    <t>Extintor De Incêndio Tipo Ap-10l. (SISPAT: 33970051 - FCG: 3397)</t>
  </si>
  <si>
    <t>Extintor De Incêndio Tipo Ap-10l. (SISPAT: 33970052 - FCG: 3397)</t>
  </si>
  <si>
    <t>Extintor De Incêndio Tipo Ap-10l. (SISPAT: 33970053 - FCG: 3397)</t>
  </si>
  <si>
    <t>Extintor De Incêndio Tipo Ap-10l. (SISPAT: 33970054 - FCG: 3397)</t>
  </si>
  <si>
    <t>Extintor De Incêndio Tipo Ap-10l. (SISPAT: 33970055 - FCG: 3397)</t>
  </si>
  <si>
    <t>Extintor De Incêndio Tipo Ap-10l. (SISPAT: 33970056 - FCG: 3397)</t>
  </si>
  <si>
    <t>Extintor De Incêndio Tipo Ap-10l. (SISPAT: 33970057 - FCG: 3397)</t>
  </si>
  <si>
    <t>Extintor De Incêndio, Tipo Ap-10 Litros. (SISPAT: 26651 - FCG: 15453)</t>
  </si>
  <si>
    <t>Extintor De Incêndio, Tipo Ap-10 Litros. (SISPAT: 26652 - FCG: 15453)</t>
  </si>
  <si>
    <t>Extintor De Incêndio, Tipo Ap-10 Litros. (SISPAT: 26653 - FCG: 15453)</t>
  </si>
  <si>
    <t>Extintor De Incêndio Tipo Ap-10 Litros. (SISPAT: 26657 - FCG: 15456)</t>
  </si>
  <si>
    <t>Extintor De Incêndio Tipo Ap-10 Litros. (SISPAT: 26658 - FCG: 15456)</t>
  </si>
  <si>
    <t>Extintor De Incêndio Tipo Ap-10 Litros. (SISPAT: 26659 - FCG: 15456)</t>
  </si>
  <si>
    <t>Extintor De Incêndio Tipo Ap-10 Litros. (SISPAT: 26660 - FCG: 15456)</t>
  </si>
  <si>
    <t>Extintor De Incêndio Tipo Ap-10 Litros. (SISPAT: 26661 - FCG: 15456)</t>
  </si>
  <si>
    <t>Extintor De Incêndio Tipo Ap-10 Litros. (SISPAT: 26662 - FCG: 15456)</t>
  </si>
  <si>
    <t>Extintor De Incêndio Tipo Ap-10 Litros. (SISPAT: 26663 - FCG: 15456)</t>
  </si>
  <si>
    <t>Extintor De Incêndio Tipo Ap-10 Litros. (SISPAT: 26664 - FCG: 15456)</t>
  </si>
  <si>
    <t>Extintor De Incêndio Tipo Ap-10 Litros. (SISPAT: 26665 - FCG: 15456)</t>
  </si>
  <si>
    <t>Extintor De Incêndio Tipo Ap-10 Litros. (SISPAT: 26666 - FCG: 15456)</t>
  </si>
  <si>
    <t>Extintor De Incêndio Tipo Ap-10 Litros. (SISPAT: 26667 - FCG: 15456)</t>
  </si>
  <si>
    <t>Extintor De Incêndio Tipo Ap-10 Litros. (SISPAT: 26668 - FCG: 15456)</t>
  </si>
  <si>
    <t>Extintor De Incêndio Tipo Ap-10 Litros. (SISPAT: 26669 - FCG: 15456)</t>
  </si>
  <si>
    <t>Extintor De Incêndio Tipo Ap-10 Litros. (SISPAT: 26670 - FCG: 15456)</t>
  </si>
  <si>
    <t>Extintor De Incêndio Tipo Ap-10 Litros. (SISPAT: 26671 - FCG: 15456)</t>
  </si>
  <si>
    <t>Extintor De Incêndio Tipo Ap-10 Litros. (SISPAT: 26672 - FCG: 15456)</t>
  </si>
  <si>
    <t>Extintor De Incêndio Tipo Ap-10 Litros. (SISPAT: 26673 - FCG: 15456)</t>
  </si>
  <si>
    <t>Extintor De Incêndio, Tipo Ap-10 Litros. (SISPAT: 26649 - FCG: 15453)</t>
  </si>
  <si>
    <t>Extintor De Incêndio, Tipo Ap-10 Litros. (SISPAT: 26650 - FCG: 15453)</t>
  </si>
  <si>
    <t>Extintor De Incêndio Tipo Ap-10 Litros. (SISPAT: 26674 - FCG: 15456)</t>
  </si>
  <si>
    <t>Extintor De Incêndio Tipo Ap-10 Litros. (SISPAT: 26675 - FCG: 15456)</t>
  </si>
  <si>
    <t>Extintor De Incêndio Tipo Ap-10 Litros. (SISPAT: 26676 - FCG: 15456)</t>
  </si>
  <si>
    <t>Extintor De Incêndio Tipo Ap-10 Litros. (SISPAT: 26677 - FCG: 15456)</t>
  </si>
  <si>
    <t>Extintor De Incêndio Tipo Ap-10 Litros. (SISPAT: 26678 - FCG: 15456)</t>
  </si>
  <si>
    <t>Extintor De Incêndio Tipo Ap-10l. (SISPAT: 33970060 - FCG: 3397)</t>
  </si>
  <si>
    <t>Extintor De Pó Químico, 2kg, Com Seu Respectivo Suporte Metálico. (SISPAT: 19291 - FCG: 3949)</t>
  </si>
  <si>
    <t>Extintor De Pó Químico, 2kg, Com Seu Respectivo Suporte Metálico. (SISPAT: 19292 - FCG: 3949)</t>
  </si>
  <si>
    <t>Extintor De Incêndio, Pp 02-Kg. (SISPAT: 447001 - FCG: 4470)</t>
  </si>
  <si>
    <t>Extintor De Incêndio Tipo Ap-10l. (SISPAT: 33970058 - FCG: 3397)</t>
  </si>
  <si>
    <t>Extintor De Incêndio Tipo Ap-10l. (SISPAT: 33970059 - FCG: 3397)</t>
  </si>
  <si>
    <t>Extintor De Incêndio, Pp 02-Kg. (SISPAT: 447002 - FCG: 4470)</t>
  </si>
  <si>
    <t>Extintor De Incêndio, Pp 04-Kg. (SISPAT: 451901 - FCG: 4519)</t>
  </si>
  <si>
    <t>Extintor De Incêndio, Pp 04-Kg. (SISPAT: 451902 - FCG: 4519)</t>
  </si>
  <si>
    <t>Extintor De Incêndio, Pp 08-Kg. (SISPAT: 459001 - FCG: 4590)</t>
  </si>
  <si>
    <t>Extintor De Incêndio, Pp 08-Kg. (SISPAT: 459002 - FCG: 4590)</t>
  </si>
  <si>
    <t>PERFEITO</t>
  </si>
  <si>
    <t>Extintor De Incêndio, Pp 50-Kg. (SISPAT: 459601 - FCG: 4596)</t>
  </si>
  <si>
    <t>Extintor De Incêndio, Pp 50-Kg. (SISPAT: 459602 - FCG: 4596)</t>
  </si>
  <si>
    <t>Extintor De Incêndio, Pp 50-Kg. (SISPAT: 459603 - FCG: 4596)</t>
  </si>
  <si>
    <t>Extintor De Incêndio, Pp 50-Kg. (SISPAT: 459604 - FCG: 4596)</t>
  </si>
  <si>
    <t>Extintor De Incêndio, Pp 50-Kg. (SISPAT: 459605 - FCG: 4596)</t>
  </si>
  <si>
    <t>Extintor De Incêndio, Pp 50-Kg. (SISPAT: 459606 - FCG: 4596)</t>
  </si>
  <si>
    <t>Extintor De Incêndio, Pp 50-Kg. (SISPAT: 459607 - FCG: 4596)</t>
  </si>
  <si>
    <t>Extintor De Incêndio, Pp 50-Kg. (SISPAT: 459608 - FCG: 4596)</t>
  </si>
  <si>
    <t>Extintor De Incêndio, Pp 50-Kg. (SISPAT: 459609 - FCG: 4596)</t>
  </si>
  <si>
    <t>Extintor De Incêndio, Pp 50-Kg. (SISPAT: 459610 - FCG: 4596)</t>
  </si>
  <si>
    <t>Extintor De Incêndio, Pp 50-Kg. (SISPAT: 459611 - FCG: 4596)</t>
  </si>
  <si>
    <t>Extintor De Incêndio, Pqs 04-Kg. (SISPAT: 460101 - FCG: 4601)</t>
  </si>
  <si>
    <t>Extintor De Incêndio, Pqs 04-Kg. (SISPAT: 460102 - FCG: 4601)</t>
  </si>
  <si>
    <t>Extintor De Incêndio, Pqs 04-Kg. (SISPAT: 460103 - FCG: 4601)</t>
  </si>
  <si>
    <t>Extintor De Incêndio, Ap-10. (SISPAT: 485001 - FCG: 4850)</t>
  </si>
  <si>
    <t>Extintor De Incêndio Do Tipo Co2, Com Capacidade Para 4 Kg. (SISPAT: 576 - FCG: 541)</t>
  </si>
  <si>
    <t>Extintor De Incêndio Do Tipo Co2, Com Capacidade Para 4 Kg. (SISPAT: 577 - FCG: 541)</t>
  </si>
  <si>
    <t>Extintor De Incêndio Tipo Em-50 Litros. (SISPAT: 15913 - FCG: 750)</t>
  </si>
  <si>
    <t>Extintor De Incêndio Tipo Em-50 Litros. (SISPAT: 15914 - FCG: 750)</t>
  </si>
  <si>
    <t>Extintor De Incêndio Tipo Em-50 Litros. (SISPAT: 15915 - FCG: 750)</t>
  </si>
  <si>
    <t>Extintor De Incêndio Tipo Em-50 Litros. (SISPAT: 15916 - FCG: 750)</t>
  </si>
  <si>
    <t>Extintor De Incêndio Tipo Em-50 Litros. (SISPAT: 15917 - FCG: 750)</t>
  </si>
  <si>
    <t>Extintor De Incêndio Tipo Em-50 Litros. (SISPAT: 15918 - FCG: 750)</t>
  </si>
  <si>
    <t>Extintor De Incêndio Tipo Água-Gás, Com 10 Litros De Capacidade. (SISPAT: 1697 - FCG: 1061)</t>
  </si>
  <si>
    <t>Extintor De Incêndio Tipo Água-Gás, Com 10 Litros De Capacidade. (SISPAT: 1698 - FCG: 1061)</t>
  </si>
  <si>
    <t>Extintor De Incêndio, Tipo Ap-75 Litros. (SISPAT: 16999 - FCG: 1096)</t>
  </si>
  <si>
    <t>Extintor De Incêndio, Tipo Ap-75 Litros. (SISPAT: 17000 - FCG: 1096)</t>
  </si>
  <si>
    <t>Extintor De Incêndio, Tipo Ap-75 Litros. (SISPAT: 17001 - FCG: 1096)</t>
  </si>
  <si>
    <t>Extintor De Incêndio, Tipo Ap-75 Litros. (SISPAT: 17002 - FCG: 1096)</t>
  </si>
  <si>
    <t>Extintor De Incêndio Ap-75 Litros. (SISPAT: 17435 - FCG: 1516)</t>
  </si>
  <si>
    <t>Extintor De Incêndio, Ap-10. (SISPAT: 485004 - FCG: 4850)</t>
  </si>
  <si>
    <t>Extintor De Incêndio, Ap-10. (SISPAT: 485005 - FCG: 4850)</t>
  </si>
  <si>
    <t>Extintor De Incêndio, Ap-10. (SISPAT: 485006 - FCG: 4850)</t>
  </si>
  <si>
    <t>Extintor De Incêndio, Ap-10. (SISPAT: 485007 - FCG: 4850)</t>
  </si>
  <si>
    <t>Extintor De Incêndio, Ap-10. (SISPAT: 485008 - FCG: 4850)</t>
  </si>
  <si>
    <t>Extintor De Incêndio, Ap-10. (SISPAT: 485002 - FCG: 4850)</t>
  </si>
  <si>
    <t>Extintor De Incêndio, Ap-10. (SISPAT: 485003 - FCG: 4850)</t>
  </si>
  <si>
    <t>Extintor De Incêndio, Ap-10. (SISPAT: 485009 - FCG: 4850)</t>
  </si>
  <si>
    <t>Extintor De Incêndio, Ap-10. (SISPAT: 485010 - FCG: 4850)</t>
  </si>
  <si>
    <t>Extintor De Incêndio, Ap-10. (SISPAT: 485011 - FCG: 4850)</t>
  </si>
  <si>
    <t>Extintor De Incêndio, Ap-10. (SISPAT: 485012 - FCG: 4850)</t>
  </si>
  <si>
    <t>Extintor De Incêndio, Em-09l. (SISPAT: 486201 - FCG: 4862)</t>
  </si>
  <si>
    <t>Extintor De Incêndio, Em-10l. (SISPAT: 486202 - FCG: 4862)</t>
  </si>
  <si>
    <t>Extintor De Incêndio, Em-10l. (SISPAT: 486203 - FCG: 4862)</t>
  </si>
  <si>
    <t>Extintor De Incêndio, Em-10l. (SISPAT: 486204 - FCG: 4862)</t>
  </si>
  <si>
    <t>Extintor De Incêndio, Em-09l. (SISPAT: 486205 - FCG: 4862)</t>
  </si>
  <si>
    <t>Extintor De Incêndio, Em-09l. (SISPAT: 486206 - FCG: 4862)</t>
  </si>
  <si>
    <t>Extintor De Incêndio, Em-09l. (SISPAT: 486207 - FCG: 4862)</t>
  </si>
  <si>
    <t>Extintor De Incêndio, Pp 06-Kg. (SISPAT: 486301 - FCG: 4863)</t>
  </si>
  <si>
    <t>Extintor De Incêndio Pqs 06-Kg. (SISPAT: 486601 - FCG: 4866)</t>
  </si>
  <si>
    <t>Extintor De Incêndio Pqs 06-Kg. (SISPAT: 486602 - FCG: 4866)</t>
  </si>
  <si>
    <t>Extintor De Incêndio Pqs 06-Kg. (SISPAT: 486603 - FCG: 4866)</t>
  </si>
  <si>
    <t>Extintor De Incêndio Pqs 06-Kg. (SISPAT: 486604 - FCG: 4866)</t>
  </si>
  <si>
    <t>Extintor De Incêndio Pqs 06-Kg. (SISPAT: 486605 - FCG: 4866)</t>
  </si>
  <si>
    <t>Extintor De Incêndio Pqs 06-Kg. (SISPAT: 486606 - FCG: 4866)</t>
  </si>
  <si>
    <t>Extintor De Incêndio Pqs 06-Kg. (SISPAT: 486607 - FCG: 4866)</t>
  </si>
  <si>
    <t>Extintor De Incêndio Pqs 06-Kg. (SISPAT: 486608 - FCG: 4866)</t>
  </si>
  <si>
    <t>Extintor De Incêndio Pqs 12-Kg (SISPAT: 486701 - FCG: 4867)</t>
  </si>
  <si>
    <t>Extintor De Incêndio Ap-75 Litros. (SISPAT: 17436 - FCG: 1516)</t>
  </si>
  <si>
    <t>Extintor De Incêndio Ap-75 Litros. (SISPAT: 17437 - FCG: 1516)</t>
  </si>
  <si>
    <t>Extintor De Incêndio Ap-75 Litros. (SISPAT: 17438 - FCG: 1516)</t>
  </si>
  <si>
    <t>Extintor De Incêndio Ap-75 Litros. (SISPAT: 17439 - FCG: 1516)</t>
  </si>
  <si>
    <t>Extintor De Incêndio Ap-75 Litros. (SISPAT: 17440 - FCG: 1516)</t>
  </si>
  <si>
    <t>Extintor De Incêndio Ap-75 Litros. (SISPAT: 17441 - FCG: 1516)</t>
  </si>
  <si>
    <t>Extintor De Incêndio Ap-75 Litros. (SISPAT: 17442 - FCG: 1516)</t>
  </si>
  <si>
    <t>Extintor De Incêndio Do Tipo Co2, Capacidade 20kg. (SISPAT: 17449 - FCG: 1535)</t>
  </si>
  <si>
    <t>Extintor De Incêndio Do Tipo Co2, Capacidade 20kg. (SISPAT: 17450 - FCG: 1535)</t>
  </si>
  <si>
    <t>Extintor De Incêndio Ipo Ap - 1ol. (SISPAT: 30613 - FCG: 3066)</t>
  </si>
  <si>
    <t>Extintor De Incêndio Ipo Ap - 1ol. (SISPAT: 306601 - FCG: 3066)</t>
  </si>
  <si>
    <t>Extintor De Incêndio Ipo Ap - 1ol. (SISPAT: 306602 - FCG: 3066)</t>
  </si>
  <si>
    <t>Extintor De Incêndio Ipo Ap - 1ol. (SISPAT: 306603 - FCG: 3066)</t>
  </si>
  <si>
    <t>Extintor De Incêndio Ipo Ap - 1ol. (SISPAT: 306604 - FCG: 3066)</t>
  </si>
  <si>
    <t>Extintor De Incêndio Ipo Ap - 1ol. (SISPAT: 306605 - FCG: 3066)</t>
  </si>
  <si>
    <t>Extintor De Incêndio Ipo Ap - 1ol. (SISPAT: 306606 - FCG: 3066)</t>
  </si>
  <si>
    <t>Extintor De Incêndio Ipo Ap - 1ol. (SISPAT: 306607 - FCG: 3066)</t>
  </si>
  <si>
    <t>Extintor De Incêndio Ipo Ap - 1ol. (SISPAT: 306608 - FCG: 3066)</t>
  </si>
  <si>
    <t>Extintor De Incêndio Ipo Ap - 1ol. (SISPAT: 306609 - FCG: 3066)</t>
  </si>
  <si>
    <t>Extintor De Incêndio Ipo Ap - 1ol. (SISPAT: 306610 - FCG: 3066)</t>
  </si>
  <si>
    <t>Extintor De Incêndio Ipo Ap - 1ol. (SISPAT: 306611 - FCG: 3066)</t>
  </si>
  <si>
    <t>Extintor De Incêndio Ipo Ap - 1ol. (SISPAT: 306612 - FCG: 3066)</t>
  </si>
  <si>
    <t>Extintor De Incêndio Ipo Ap - 1ol. (SISPAT: 306614 - FCG: 3066)</t>
  </si>
  <si>
    <t>Extintor De Incêndio Ipo Ap - 1ol. (SISPAT: 306615 - FCG: 3066)</t>
  </si>
  <si>
    <t>Extintor De Incêndio Tipo Em - 09 L. (SISPAT: 306701 - FCG: 3067)</t>
  </si>
  <si>
    <t>Extintor De Incêndio Pqs 12-Kg (SISPAT: 486702 - FCG: 4867)</t>
  </si>
  <si>
    <t>Extintor De Incêndio Pqs 12-Kg (SISPAT: 486703 - FCG: 4867)</t>
  </si>
  <si>
    <t>Extintor De Incêndio Pqs 12-Kg (SISPAT: 486704 - FCG: 4867)</t>
  </si>
  <si>
    <t>Extintor De Incêndio Pqs 12-Kg (SISPAT: 486705 - FCG: 4867)</t>
  </si>
  <si>
    <t>Extintor De Incêndio Pqs 12-Kg (SISPAT: 486706 - FCG: 4867)</t>
  </si>
  <si>
    <t>Extintor De Incêndio Pqs 12-Kg (SISPAT: 486707 - FCG: 4867)</t>
  </si>
  <si>
    <t>Extintor De Incêndio Pqs 12-Kg (SISPAT: 486708 - FCG: 4867)</t>
  </si>
  <si>
    <t>Extintor De Incêndio Co2 4kg. (SISPAT: 486801 - FCG: 4868)</t>
  </si>
  <si>
    <t>Extintor De Incêndio Co2 4kg. (SISPAT: 486802 - FCG: 4868)</t>
  </si>
  <si>
    <t>Extintor De Incêndio Co2 4kg. (SISPAT: 486803 - FCG: 4868)</t>
  </si>
  <si>
    <t>Extintor De Incêndio Co2 4kg. (SISPAT: 486804 - FCG: 4868)</t>
  </si>
  <si>
    <t>Extintor De Incêndio Co2 4kg. (SISPAT: 486805 - FCG: 4868)</t>
  </si>
  <si>
    <t>Extintor De Incêndio Co2 4kg. (SISPAT: 486806 - FCG: 4868)</t>
  </si>
  <si>
    <t>Extintor De Incêndio Co2 4kg. (SISPAT: 486807 - FCG: 4868)</t>
  </si>
  <si>
    <t>Extintor De Incêndio Co2 4kg. (SISPAT: 486808 - FCG: 4868)</t>
  </si>
  <si>
    <t>Extintor De Incêndio Co2 4kg. (SISPAT: 486809 - FCG: 4868)</t>
  </si>
  <si>
    <t>Extintor De Incêndio Co2- 06kg. (SISPAT: 487201 - FCG: 4872)</t>
  </si>
  <si>
    <t>Extintor De Incêndio Co2- 06kg. (SISPAT: 487202 - FCG: 4872)</t>
  </si>
  <si>
    <t>Extintor De Incêndio Co2- 06kg. (SISPAT: 487203 - FCG: 4872)</t>
  </si>
  <si>
    <t>Extintor De Incêndio Co2- 06kg. (SISPAT: 487204 - FCG: 4872)</t>
  </si>
  <si>
    <t>Extintor De Incêndio Co2- 06kg. (SISPAT: 487205 - FCG: 4872)</t>
  </si>
  <si>
    <t>Extintor De Incêndio Co2- 06kg. (SISPAT: 487206 - FCG: 4872)</t>
  </si>
  <si>
    <t>Extintor De Incêndio Co2- 06kg. (SISPAT: 487207 - FCG: 4872)</t>
  </si>
  <si>
    <t>Extintor De Incêndio Co2- 06kg. (SISPAT: 487208 - FCG: 4872)</t>
  </si>
  <si>
    <t>Extintor De Incêndio Co2- 06kg. (SISPAT: 487209 - FCG: 4872)</t>
  </si>
  <si>
    <t>Extintor De Incêndio Co2- 06kg. (SISPAT: 487210 - FCG: 4872)</t>
  </si>
  <si>
    <t>Extintor De Incêndio Co2- 06kg. (SISPAT: 487211 - FCG: 4872)</t>
  </si>
  <si>
    <t>Extintor De Incêndio Co2- 06kg. (SISPAT: 487212 - FCG: 4872)</t>
  </si>
  <si>
    <t>Extintor De Incêndio Tipo Em - 09 L. (SISPAT: 306702 - FCG: 3067)</t>
  </si>
  <si>
    <t>Extintor De Incêndio Tipo Em - 09 L. (SISPAT: 306703 - FCG: 3067)</t>
  </si>
  <si>
    <t>Extintor De Incêndio Tipo Em - 09 L. (SISPAT: 306704 - FCG: 3067)</t>
  </si>
  <si>
    <t>Extintor De Incêndio Tipo Em - 09 L. (SISPAT: 306705 - FCG: 3067)</t>
  </si>
  <si>
    <t>Extintor De Incêndio Tipo Em - 09 L. (SISPAT: 306706 - FCG: 3067)</t>
  </si>
  <si>
    <t>Extintor De Incêndio Tipo Em - 09 L. (SISPAT: 306707 - FCG: 3067)</t>
  </si>
  <si>
    <t>Extintor De Incêndio Tipo Em - 09 L. (SISPAT: 306708 - FCG: 3067)</t>
  </si>
  <si>
    <t>Extintor De Incêndio Tipo Em - 09 L. (SISPAT: 306709 - FCG: 3067)</t>
  </si>
  <si>
    <t>Extintor De Incêndio Tipo Em - 09 L. (SISPAT: 306710 - FCG: 3067)</t>
  </si>
  <si>
    <t>Extintor De Incêndio Tipo Pp-06 Kg (SISPAT: 306801 - FCG: 3068)</t>
  </si>
  <si>
    <t>Extintor De Incêndio Tipo Pp-06 Kg (SISPAT: 306802 - FCG: 3068)</t>
  </si>
  <si>
    <t>Extintor De Incêndio Tipo Pp-06 Kg (SISPAT: 306803 - FCG: 3068)</t>
  </si>
  <si>
    <t>Extintor De Incêndio Tipo Pp-06 Kg (SISPAT: 306804 - FCG: 3068)</t>
  </si>
  <si>
    <t>Extintor De Incêndio Tipo Pp-06 Kg (SISPAT: 306805 - FCG: 3068)</t>
  </si>
  <si>
    <t>Extintor De Incêndio Tipo Pp-06 Kg (SISPAT: 306806 - FCG: 3068)</t>
  </si>
  <si>
    <t>Extintor De Incêndio Tipo Pp-06 Kg (SISPAT: 306807 - FCG: 3068)</t>
  </si>
  <si>
    <t>Extintor De Incêndio Tipo Pp-06 Kg (SISPAT: 306808 - FCG: 3068)</t>
  </si>
  <si>
    <t>Extintor De Incêndio Tipo Pp-06 Kg (SISPAT: 306809 - FCG: 3068)</t>
  </si>
  <si>
    <t>Extintor De Incêndio Tipo Pp-06 Kg (SISPAT: 306810 - FCG: 3068)</t>
  </si>
  <si>
    <t>Extintor De Incêndio Tipo Pp-01 Kg. (SISPAT: 33610001 - FCG: 3361)</t>
  </si>
  <si>
    <t>Extintor De Incêndio Tipo Pp-01 Kg. (SISPAT: 33610002 - FCG: 3361)</t>
  </si>
  <si>
    <t>Extintor De Incêndio Tipo Pp-01 Kg. (SISPAT: 33610003 - FCG: 3361)</t>
  </si>
  <si>
    <t>Extintor De Incêndio Tipo Pp-01 Kg. (SISPAT: 33610004 - FCG: 3361)</t>
  </si>
  <si>
    <t>Extintor De Incêndio Tipo Pp-01 Kg. (SISPAT: 33610005 - FCG: 3361)</t>
  </si>
  <si>
    <t>Extintor De Incêndio Tipo Pp-01 Kg. (SISPAT: 33610006 - FCG: 3361)</t>
  </si>
  <si>
    <t>Extintor De Incêndio Co2- 06kg. (SISPAT: 487213 - FCG: 4872)</t>
  </si>
  <si>
    <t>Extintor De Incêndio Co2- 06kg. (SISPAT: 487214 - FCG: 4872)</t>
  </si>
  <si>
    <t>Extintor De Incêndio Co2- 06kg. (SISPAT: 487215 - FCG: 4872)</t>
  </si>
  <si>
    <t>Extintor De Incêndio Co2- 06kg. (SISPAT: 487216 - FCG: 4872)</t>
  </si>
  <si>
    <t>Extintor De Incêndio Co2- 06kg. (SISPAT: 487217 - FCG: 4872)</t>
  </si>
  <si>
    <t>Extintor De Incêndio Co2- 06kg. (SISPAT: 487218 - FCG: 4872)</t>
  </si>
  <si>
    <t>Extintor De Incêndio Co2- 06kg. (SISPAT: 487219 - FCG: 4872)</t>
  </si>
  <si>
    <t>Extintor De Incêndio Co2- 06kg. (SISPAT: 487220 - FCG: 4872)</t>
  </si>
  <si>
    <t>Extintor De Incêndio Co2- 06kg. (SISPAT: 487221 - FCG: 4872)</t>
  </si>
  <si>
    <t>Extintor De Incêndio Co2- 06kg. (SISPAT: 487222 - FCG: 4872)</t>
  </si>
  <si>
    <t>Extintor De Incêndio Co2- 06kg. (SISPAT: 487223 - FCG: 4872)</t>
  </si>
  <si>
    <t>Extintor De Incêndio Co2- 06kg. (SISPAT: 487224 - FCG: 4872)</t>
  </si>
  <si>
    <t>Extintor De Incêndio Co2- 06kg. (SISPAT: 487225 - FCG: 4872)</t>
  </si>
  <si>
    <t>Extintor De Incêndio Co2- 06kg. (SISPAT: 487226 - FCG: 4872)</t>
  </si>
  <si>
    <t>Extintor De Incêndio Co2- 06kg. (SISPAT: 487227 - FCG: 4872)</t>
  </si>
  <si>
    <t>Extintor De Incêndio Co2- 06kg. (SISPAT: 487228 - FCG: 4872)</t>
  </si>
  <si>
    <t>Extintor De Incêndio Co2- 06kg. (SISPAT: 487229 - FCG: 4872)</t>
  </si>
  <si>
    <t>Extintor De Incêndio Co2- 06kg. (SISPAT: 487230 - FCG: 4872)</t>
  </si>
  <si>
    <t>Extintor De Incêndio Co2- 06kg. (SISPAT: 487231 - FCG: 4872)</t>
  </si>
  <si>
    <t>Extintor De Incêndio Co2- 06kg. (SISPAT: 487232 - FCG: 4872)</t>
  </si>
  <si>
    <t>Extintor De Incêndio Co2- 06kg. (SISPAT: 487233 - FCG: 4872)</t>
  </si>
  <si>
    <t>Extintor De Incêndio Co2- 06kg. (SISPAT: 487234 - FCG: 4872)</t>
  </si>
  <si>
    <t>Extintor De Incêndio Co2- 06kg. (SISPAT: 487235 - FCG: 4872)</t>
  </si>
  <si>
    <t>Extintor De Incêndio Co2- 06kg. (SISPAT: 487236 - FCG: 4872)</t>
  </si>
  <si>
    <t>Extintor De Incêndio Co2- 06kg. (SISPAT: 487237 - FCG: 4872)</t>
  </si>
  <si>
    <t>Extintor De Incêndio Co2- 06kg. (SISPAT: 487238 - FCG: 4872)</t>
  </si>
  <si>
    <t>Extintor De Incêndio Co2- 06kg. (SISPAT: 487239 - FCG: 4872)</t>
  </si>
  <si>
    <t>Extintor De Incêndio Co2- 06kg. (SISPAT: 487240 - FCG: 4872)</t>
  </si>
  <si>
    <t>Extintor De Incêndio Tipo Pp-01 Kg. (SISPAT: 33610007 - FCG: 3361)</t>
  </si>
  <si>
    <t>Extintor De Incêndio Tipo Pp-01 Kg. (SISPAT: 33610008 - FCG: 3361)</t>
  </si>
  <si>
    <t>Extintor De Incêndio Tipo Pp-01 Kg. (SISPAT: 33610009 - FCG: 3361)</t>
  </si>
  <si>
    <t>Extintor De Incêndio Tipo Pp-01 Kg. (SISPAT: 33610010 - FCG: 3361)</t>
  </si>
  <si>
    <t>Extintor De Incêndio Tipo Pp-01 Kg. (SISPAT: 33610011 - FCG: 3361)</t>
  </si>
  <si>
    <t>Extintor De Incêndio Tipo Pp-01 Kg. (SISPAT: 33610012 - FCG: 3361)</t>
  </si>
  <si>
    <t>Extintor De Incêndio Tipo Pp-01 Kg. (SISPAT: 33610013 - FCG: 3361)</t>
  </si>
  <si>
    <t>Extintor De Incêndio Tipo Pp-01 Kg. (SISPAT: 33610014 - FCG: 3361)</t>
  </si>
  <si>
    <t>Extintor De Incêndio Tipo Pp-01 Kg. (SISPAT: 33610015 - FCG: 3361)</t>
  </si>
  <si>
    <t>Extintor De Incêndio Tipo Pp-01 Kg. (SISPAT: 33610016 - FCG: 3361)</t>
  </si>
  <si>
    <t>Extintor De Incêndio Tipo Pp-01 Kg. (SISPAT: 33610017 - FCG: 3361)</t>
  </si>
  <si>
    <t>Extintor De Incêndio Tipo Pp-01 Kg. (SISPAT: 33610018 - FCG: 3361)</t>
  </si>
  <si>
    <t>Extintor De Incêndio Tipo Pp-01 Kg. (SISPAT: 33610019 - FCG: 3361)</t>
  </si>
  <si>
    <t>Extintor De Incêndio Tipo Pp-01 Kg. (SISPAT: 33610020 - FCG: 3361)</t>
  </si>
  <si>
    <t>Extintor De Incêndio Tipo Pp-02 Kg. (SISPAT: 33710001 - FCG: 3371)</t>
  </si>
  <si>
    <t>Extintor De Incêndio Tipo Pp-02 Kg. (SISPAT: 33710002 - FCG: 3371)</t>
  </si>
  <si>
    <t>Extintor De Incêndio Tipo Pp-02 Kg. (SISPAT: 33710003 - FCG: 3371)</t>
  </si>
  <si>
    <t>Extintor De Incêndio Tipo Pp-02 Kg. (SISPAT: 33710004 - FCG: 3371)</t>
  </si>
  <si>
    <t>Extintor De Incêndio Tipo Pp-02 Kg. (SISPAT: 33710005 - FCG: 3371)</t>
  </si>
  <si>
    <t>Extintor De Incêndio Tipo Pp-02 Kg. (SISPAT: 33710006 - FCG: 3371)</t>
  </si>
  <si>
    <t>Extintor De Incêndio Tipo Pp-02 Kg. (SISPAT: 33710007 - FCG: 3371)</t>
  </si>
  <si>
    <t>Extintor De Incêndio Tipo Pp-02 Kg. (SISPAT: 33710008 - FCG: 3371)</t>
  </si>
  <si>
    <t>Extintor De Incêndio Tipo Pp-02 Kg. (SISPAT: 33710009 - FCG: 3371)</t>
  </si>
  <si>
    <t>Extintor De Incêndio Tipo Pp-02 Kg. (SISPAT: 33710010 - FCG: 3371)</t>
  </si>
  <si>
    <t>Extintor De Incêndio Tipo Pp-02 Kg. (SISPAT: 33710011 - FCG: 3371)</t>
  </si>
  <si>
    <t>Extintor De Incêndio Tipo Pp-02 Kg. (SISPAT: 33710012 - FCG: 3371)</t>
  </si>
  <si>
    <t>Extintor De Incêndio Co2- 06kg. (SISPAT: 487241 - FCG: 4872)</t>
  </si>
  <si>
    <t>Extintor De Incêndio Marca Kide Tipo 15-S. (SISPAT: 8431 - FCG: 6280)</t>
  </si>
  <si>
    <t>Extintor De Incêndio H20-Pressurização Direta, Classe A, Para Materiais Que Queimam E Deixam Cinzas E Brasas, 10 Litros. (SISPAT: 8731 - FCG: 6571)</t>
  </si>
  <si>
    <t>Extintor De Incêndio H20-Pressurização Direta, Classe A, Para Materiais Que Queimam E Deixam Cinzas E Brasas, 10 Litros. (SISPAT: 8732 - FCG: 6571)</t>
  </si>
  <si>
    <t>Extintor De Incêndio H20-Pressurização Direta, Classe A, Para Materiais Que Queimam E Deixam Cinzas E Brasas, 10 Litros. (SISPAT: 8733 - FCG: 6571)</t>
  </si>
  <si>
    <t>Extintor De Incêndio H20-Pressurização Direta, Classe A, Para Materiais Que Queimam E Deixam Cinzas E Brasas, 10 Litros. (SISPAT: 8734 - FCG: 6571)</t>
  </si>
  <si>
    <t>Extintor De Incêndio H20-Pressurização Direta, Classe A, Para Materiais Que Queimam E Deixam Cinzas E Brasas, 10 Litros. (SISPAT: 8735 - FCG: 6571)</t>
  </si>
  <si>
    <t>Extintor De Incêndio H20-Pressurização Direta, Classe A, Para Materiais Que Queimam E Deixam Cinzas E Brasas, 10 Litros. (SISPAT: 8736 - FCG: 6571)</t>
  </si>
  <si>
    <t>Extintor De Incêndio Co2-06kg Classe C Para Materiais Elétricos Energizados. (SISPAT: 8737 - FCG: 6571)</t>
  </si>
  <si>
    <t>Extintor De Incêndio Co2-06kg Classe C Para Materias Elétricos Energizados. (SISPAT: 8741 - FCG: 6572)</t>
  </si>
  <si>
    <t>Extintor De Incêndio Co2-06kg Classe C Para Materias Elétricos Energizados. (SISPAT: 8742 - FCG: 6572)</t>
  </si>
  <si>
    <t>Extintor De Incêndio Co2-06kg Classe C Para Materias Elétricos Energizados. (SISPAT: 8743 - FCG: 6572)</t>
  </si>
  <si>
    <t>Extintor De Incêndio Co2-06kg Classe C Para Materias Elétricos Energizados. (SISPAT: 8744 - FCG: 6572)</t>
  </si>
  <si>
    <t>Extintor De Incêndio Co2-06kg Classe C Para Materias Elétricos Energizados. (SISPAT: 8745 - FCG: 6572)</t>
  </si>
  <si>
    <t>Extintor De Incêndio Tipo Co2, Marca Jatex, Cap 15 Lbs. (SISPAT: 9980 - FCG: 11539)</t>
  </si>
  <si>
    <t>Extintor De Incêndio Tipo Pp-02 Kg. (SISPAT: 33710013 - FCG: 3371)</t>
  </si>
  <si>
    <t>Extintor De Incêndio Tipo Pp-02 Kg. (SISPAT: 33710014 - FCG: 3371)</t>
  </si>
  <si>
    <t>Extintor De Incêndio Tipo Pp-02 Kg. (SISPAT: 33710015 - FCG: 3371)</t>
  </si>
  <si>
    <t>Extintor De Incêndio Tipo Pp-02 Kg. (SISPAT: 33710016 - FCG: 3371)</t>
  </si>
  <si>
    <t>Extintor De Incêndio Tipo Pp-02 Kg. (SISPAT: 33710017 - FCG: 3371)</t>
  </si>
  <si>
    <t>Extintor De Incêndio Tipo Pp-02 Kg. (SISPAT: 33710018 - FCG: 3371)</t>
  </si>
  <si>
    <t>Extintor De Incêndio Tipo Pp-02 Kg. (SISPAT: 33710019 - FCG: 3371)</t>
  </si>
  <si>
    <t>Extintor De Incêndio Tipo Pp-02 Kg. (SISPAT: 33710020 - FCG: 3371)</t>
  </si>
  <si>
    <t>Extintor De Incêndio Tipo Pp-06 Kg. (SISPAT: 33730001 - FCG: 3373)</t>
  </si>
  <si>
    <t>Extintor De Incêndio Tipo Pp-06 Kg. (SISPAT: 33730002 - FCG: 3373)</t>
  </si>
  <si>
    <t>Extintor De Incêndio Tipo Pp-06 Kg. (SISPAT: 33730003 - FCG: 3373)</t>
  </si>
  <si>
    <t>Extintor De Incêndio Tipo Pp-06 Kg. (SISPAT: 33730004 - FCG: 3373)</t>
  </si>
  <si>
    <t>Extintor De Incêndio Tipo Pp-06 Kg. (SISPAT: 33730005 - FCG: 3373)</t>
  </si>
  <si>
    <t>Extintor De Incêndio Tipo Pp-06 Kg. (SISPAT: 33730006 - FCG: 3373)</t>
  </si>
  <si>
    <t>Extintor De Incêndio Tipo Pp-06 Kg. (SISPAT: 33730007 - FCG: 3373)</t>
  </si>
  <si>
    <t>Extintor De Incêndio Tipo Pp-06 Kg. (SISPAT: 33730008 - FCG: 3373)</t>
  </si>
  <si>
    <t>Extintor De Incêndio Tipo Pp-06 Kg. (SISPAT: 33730009 - FCG: 3373)</t>
  </si>
  <si>
    <t>Extintor De Incêndio Tipo Pp-06 Kg. (SISPAT: 33730010 - FCG: 3373)</t>
  </si>
  <si>
    <t>Extintor De Incêndio Tipo Pp-06 Kg. (SISPAT: 33730011 - FCG: 3373)</t>
  </si>
  <si>
    <t>Extintor De Incêndio Tipo Pp-06 Kg. (SISPAT: 33730012 - FCG: 3373)</t>
  </si>
  <si>
    <t>Extintor De Incêndio Tipo Pp-06 Kg. (SISPAT: 33730013 - FCG: 3373)</t>
  </si>
  <si>
    <t>Extintor De Incêndio Tipo Pp-06 Kg. (SISPAT: 33730014 - FCG: 3373)</t>
  </si>
  <si>
    <t>Extintor De Incêndio Tipo Pp-06 Kg. (SISPAT: 33730015 - FCG: 3373)</t>
  </si>
  <si>
    <t>Extintor De Incêndio Tipo Pp-06 Kg. (SISPAT: 33730016 - FCG: 3373)</t>
  </si>
  <si>
    <t>Extintor De Incêndio Tipo Pp-06 Kg. (SISPAT: 33730017 - FCG: 3373)</t>
  </si>
  <si>
    <t>Extintor De Incêndio Tipo Pp-06 Kg. (SISPAT: 33730018 - FCG: 3373)</t>
  </si>
  <si>
    <t>Extintor De Incêndio Tipo Co2, Marca Jatex, Cap. 15 Lbs. (SISPAT: 9994 - FCG: 11541)</t>
  </si>
  <si>
    <t>Extintor De Incêndio Tipo Co2, Marca Jatex, Cap. 15 Lbs. (SISPAT: 9995 - FCG: 11541)</t>
  </si>
  <si>
    <t>Extintor De Incêndio Tipo Co2, Marca Jatex, Cap. 15 Lbs. (SISPAT: 9996 - FCG: 11541)</t>
  </si>
  <si>
    <t>Extintor De Incêndio, Tipo Co2-06kg. (SISPAT: 26525 - FCG: 15430)</t>
  </si>
  <si>
    <t>Extintor De Incêndio, Tipo Co2-06kg. (SISPAT: 26526 - FCG: 15430)</t>
  </si>
  <si>
    <t>Extintor De Incêndio, Tipo Co2-06kg. (SISPAT: 26527 - FCG: 15430)</t>
  </si>
  <si>
    <t>Extintor De Incêndio, Tipo Co2-06kg. (SISPAT: 26528 - FCG: 15430)</t>
  </si>
  <si>
    <t>Extintor De Incêndio, Tipo Co2-06kg. (SISPAT: 26529 - FCG: 15430)</t>
  </si>
  <si>
    <t>Extintor De Incêndio, Tipo Co2-06kg. (SISPAT: 26530 - FCG: 15430)</t>
  </si>
  <si>
    <t>Extintor De Incêndio, Tipo Co2-06kg. (SISPAT: 26531 - FCG: 15430)</t>
  </si>
  <si>
    <t>Extintor De Incêndio, Tipo Co2-06kg. (SISPAT: 26532 - FCG: 15430)</t>
  </si>
  <si>
    <t>Extintor De Incêndio, Tipo Co2-06kg. (SISPAT: 26533 - FCG: 15430)</t>
  </si>
  <si>
    <t>Extintor De Incêndio, Tipo Co2-06kg. (SISPAT: 26534 - FCG: 15430)</t>
  </si>
  <si>
    <t>Extintor De Incêndio, Tipo Co2-06kg. (SISPAT: 26535 - FCG: 15430)</t>
  </si>
  <si>
    <t>Extintor De Incêndio, Tipo Co2-06kg. (SISPAT: 26536 - FCG: 15430)</t>
  </si>
  <si>
    <t>Extintor De Incêndio, Tipo Co2-06kg. (SISPAT: 26537 - FCG: 15430)</t>
  </si>
  <si>
    <t>Extintor De Incêndio, Tipo Co2-06kg. (SISPAT: 26538 - FCG: 15430)</t>
  </si>
  <si>
    <t>Extintor De Incêndio, Tipo Co2-06kg. (SISPAT: 26539 - FCG: 15430)</t>
  </si>
  <si>
    <t>Extintor De Incêndio, Tipo Co2-06kg. (SISPAT: 26540 - FCG: 15430)</t>
  </si>
  <si>
    <t>Extintor De Incêndio, Tipo Co2-06kg. (SISPAT: 26541 - FCG: 15430)</t>
  </si>
  <si>
    <t>Extintor De Incêndio, Tipo Co2-06kg. (SISPAT: 26542 - FCG: 15430)</t>
  </si>
  <si>
    <t>Extintor De Incêndio, Tipo Co2-06kg. (SISPAT: 26543 - FCG: 15430)</t>
  </si>
  <si>
    <t>Extintor De Incêndio Tipo Pp-06 Kg. (SISPAT: 33730019 - FCG: 3373)</t>
  </si>
  <si>
    <t>Extintor De Incêndio Tipo Pp-06 Kg. (SISPAT: 33730020 - FCG: 3373)</t>
  </si>
  <si>
    <t>Extintor De Incêndio Tipo Pp-06 Kg. (SISPAT: 33730021 - FCG: 3373)</t>
  </si>
  <si>
    <t>Extintor De Incêndio Tipo Pp-06 Kg. (SISPAT: 33730022 - FCG: 3373)</t>
  </si>
  <si>
    <t>Extintor De Incêndio Tipo Pp-06 Kg. (SISPAT: 33730023 - FCG: 3373)</t>
  </si>
  <si>
    <t>Extintor De Incêndio Tipo Pp-06 Kg. (SISPAT: 33730024 - FCG: 3373)</t>
  </si>
  <si>
    <t>Extintor De Incêndio Tipo Pp-06 Kg. (SISPAT: 33730025 - FCG: 3373)</t>
  </si>
  <si>
    <t>Extintor De Incêndio Tipo Pp-06 Kg. (SISPAT: 33730026 - FCG: 3373)</t>
  </si>
  <si>
    <t>Extintor De Incêndio Tipo Pp-06 Kg. (SISPAT: 33730027 - FCG: 3373)</t>
  </si>
  <si>
    <t>Extintor De Incêndio Tipo Pp-06 Kg. (SISPAT: 33730028 - FCG: 3373)</t>
  </si>
  <si>
    <t>Extintor De Incêndio Tipo Pp-06 Kg. (SISPAT: 33730029 - FCG: 3373)</t>
  </si>
  <si>
    <t>Extintor De Incêndio Tipo Pp-06 Kg. (SISPAT: 33730030 - FCG: 3373)</t>
  </si>
  <si>
    <t>Extintor De Incêndio Tipo Pp-12 Kg. (SISPAT: 33750001 - FCG: 3375)</t>
  </si>
  <si>
    <t>Extintor De Incêndio Tipo Pp-12 Kg. (SISPAT: 33750002 - FCG: 3375)</t>
  </si>
  <si>
    <t>Extintor De Incêndio Tipo Pp-12 Kg. (SISPAT: 33750003 - FCG: 3375)</t>
  </si>
  <si>
    <t>Extintor De Incêndio Tipo Pp-12 Kg. (SISPAT: 33750004 - FCG: 3375)</t>
  </si>
  <si>
    <t>Extintor De Incêndio Tipo Pp-12 Kg. (SISPAT: 33750005 - FCG: 3375)</t>
  </si>
  <si>
    <t>Extintor De Incêndio Tipo Pp-12 Kg. (SISPAT: 33750006 - FCG: 3375)</t>
  </si>
  <si>
    <t>Extintor De Incêndio Tipo Pp-12 Kg. (SISPAT: 33750007 - FCG: 3375)</t>
  </si>
  <si>
    <t>Extintor De Incêndio Tipo Pp-12 Kg. (SISPAT: 33750008 - FCG: 3375)</t>
  </si>
  <si>
    <t>Extintor De Incêndio Tipo Pp-12 Kg. (SISPAT: 33750009 - FCG: 3375)</t>
  </si>
  <si>
    <t>Extintor De Incêndio Tipo Pp-12 Kg. (SISPAT: 33750010 - FCG: 3375)</t>
  </si>
  <si>
    <t>Extintor De Incêndio Tipo Pp-12 Kg. (SISPAT: 33750011 - FCG: 3375)</t>
  </si>
  <si>
    <t>Extintor De Incêndio Tipo Pp-12 Kg. (SISPAT: 33750012 - FCG: 3375)</t>
  </si>
  <si>
    <t>Extintor De Incêndio Tipo Pp-12 Kg. (SISPAT: 33750013 - FCG: 3375)</t>
  </si>
  <si>
    <t>Extintor De Incêndio Tipo Pp-12 Kg. (SISPAT: 33750014 - FCG: 3375)</t>
  </si>
  <si>
    <t>Extintor De Incêndio, Tipo Co2-06kg. (SISPAT: 26544 - FCG: 15430)</t>
  </si>
  <si>
    <t>Extintor De Incêndio, Tipo Co2-06kg. (SISPAT: 26545 - FCG: 15430)</t>
  </si>
  <si>
    <t>Extintor De Incêndio, Tipo Co2-06kg. (SISPAT: 26546 - FCG: 15430)</t>
  </si>
  <si>
    <t>Extintor De Incêndio, Tipo Co2-06kg. (SISPAT: 26549 - FCG: 15430)</t>
  </si>
  <si>
    <t>Extintor De Incêndio, Tipo Co2-06kg. (SISPAT: 26558 - FCG: 15430)</t>
  </si>
  <si>
    <t>Extintor De Incêndio, Tipo Co2-06kg. (SISPAT: 26568 - FCG: 15430)</t>
  </si>
  <si>
    <t>Extintor De Incêndio, Tipo Co2-06kg. (SISPAT: 26569 - FCG: 15430)</t>
  </si>
  <si>
    <t>Extintor De Incêndio, Tipo Co2-06kg. (SISPAT: 26570 - FCG: 15430)</t>
  </si>
  <si>
    <t>Extintor De Incêndio, Tipo Co2-06kg. (SISPAT: 26571 - FCG: 15430)</t>
  </si>
  <si>
    <t>Extintor De Incêndio, Tipo Co2-06kg. (SISPAT: 26572 - FCG: 15430)</t>
  </si>
  <si>
    <t>Extintor De Incêndio, Tipo Co2-06kg. (SISPAT: 26573 - FCG: 15430)</t>
  </si>
  <si>
    <t>Extintor De Incêndio, Tipo Co2-06kg. (SISPAT: 26574 - FCG: 15430)</t>
  </si>
  <si>
    <t>Extintor De Incêndio, Tipo Co2-06kg. (SISPAT: 26575 - FCG: 15430)</t>
  </si>
  <si>
    <t>Extintor De Incêndio, Tipo Co2-06kg. (SISPAT: 26576 - FCG: 15430)</t>
  </si>
  <si>
    <t>Extintor De Incêndio, Tipo Co2-06kg. (SISPAT: 26577 - FCG: 15430)</t>
  </si>
  <si>
    <t>Extintor De Incêndio, Tipo Co2-06kg. (SISPAT: 26578 - FCG: 15430)</t>
  </si>
  <si>
    <t>Extintor De Incêndio, Tipo Co2-06kg. (SISPAT: 26579 - FCG: 15430)</t>
  </si>
  <si>
    <t>Extintor De Incêndio, Tipo Co2-06kg. (SISPAT: 26580 - FCG: 15430)</t>
  </si>
  <si>
    <t>Extintor De Incêndio, Tipo Co2-06kg. (SISPAT: 26581 - FCG: 15430)</t>
  </si>
  <si>
    <t>Extintor De Incêndio, Tipo Co2-06kg. (SISPAT: 26582 - FCG: 15430)</t>
  </si>
  <si>
    <t>Extintor De Incêndio, Tipo Co2-06kg. (SISPAT: 26583 - FCG: 15430)</t>
  </si>
  <si>
    <t>Extintor De Incêndio, Tipo Co2-06kg. (SISPAT: 26584 - FCG: 15430)</t>
  </si>
  <si>
    <t>Extintor De Incêndio, Tipo Co2-06kg. (SISPAT: 26585 - FCG: 15430)</t>
  </si>
  <si>
    <t>Extintor De Incêndio Tipo Pp-12kg. (SISPAT: 26679 - FCG: 15457)</t>
  </si>
  <si>
    <t>Extintor De Incêndio Tipo Pp-12kg. (SISPAT: 26680 - FCG: 15457)</t>
  </si>
  <si>
    <t>Extintor De Incêndio Tipo Pp-12kg. (SISPAT: 26681 - FCG: 15457)</t>
  </si>
  <si>
    <t>Extintor De Incêndio Tipo Pp-12kg. (SISPAT: 26682 - FCG: 15457)</t>
  </si>
  <si>
    <t>Extintor De Incêndio Tipo Pp-12 Kg. (SISPAT: 33750015 - FCG: 3375)</t>
  </si>
  <si>
    <t>Extintor De Incêndio Tipo Pp-12 Kg. (SISPAT: 33750016 - FCG: 3375)</t>
  </si>
  <si>
    <t>Extintor De Incêndio Tipo Pp-12 Kg. (SISPAT: 33750017 - FCG: 3375)</t>
  </si>
  <si>
    <t>Extintor De Incêndio Tipo Pp-12 Kg. (SISPAT: 33750018 - FCG: 3375)</t>
  </si>
  <si>
    <t>Extintor De Incêndio Tipo Pp-12 Kg. (SISPAT: 33750019 - FCG: 3375)</t>
  </si>
  <si>
    <t>Extintor De Incêndio Tipo Pp-12 Kg. (SISPAT: 33750020 - FCG: 3375)</t>
  </si>
  <si>
    <t>Extintor De Incêndio Tipo Pp-12 Kg. (SISPAT: 33750021 - FCG: 3375)</t>
  </si>
  <si>
    <t>Extintor De Incêndio Tipo Pp-12 Kg. (SISPAT: 33750022 - FCG: 3375)</t>
  </si>
  <si>
    <t>Extintor De Incêndio Tipo Pp-12 Kg. (SISPAT: 33750023 - FCG: 3375)</t>
  </si>
  <si>
    <t>Extintor De Incêndio Tipo Pp-12 Kg. (SISPAT: 33750024 - FCG: 3375)</t>
  </si>
  <si>
    <t>Extintor De Incêndio Tipo Pp-12 Kg. (SISPAT: 33750025 - FCG: 3375)</t>
  </si>
  <si>
    <t>Extintor De Incêndio Tipo Pp-12 Kg. (SISPAT: 33750026 - FCG: 3375)</t>
  </si>
  <si>
    <t>Extintor De Incêndio Tipo Pp-12 Kg. (SISPAT: 33750027 - FCG: 3375)</t>
  </si>
  <si>
    <t>Extintor De Incêndio Tipo Pp-12 Kg. (SISPAT: 33750028 - FCG: 3375)</t>
  </si>
  <si>
    <t>Extintor De Incêndio Tipo Pp-12 Kg. (SISPAT: 33750029 - FCG: 3375)</t>
  </si>
  <si>
    <t>Extintor De Incêndio Tipo Pp-12 Kg. (SISPAT: 33750030 - FCG: 3375)</t>
  </si>
  <si>
    <t>Extintor De Incêndio Tipo Pp-12 Kg. (SISPAT: 33750031 - FCG: 3375)</t>
  </si>
  <si>
    <t>Extintor De Incêndio Tipo Pp-12 Kg. (SISPAT: 33750032 - FCG: 3375)</t>
  </si>
  <si>
    <t>Extintor De Incêndio Tipo Pp-12 Kg. (SISPAT: 33750033 - FCG: 3375)</t>
  </si>
  <si>
    <t>Extintor De Incêndio Tipo Pp-12 Kg. (SISPAT: 33750034 - FCG: 3375)</t>
  </si>
  <si>
    <t>Extintor De Incêndio Tipo Pp-12 Kg. (SISPAT: 33750035 - FCG: 3375)</t>
  </si>
  <si>
    <t>Extintor De Incêndio Tipo Pp-12 Kg. (SISPAT: 33750036 - FCG: 3375)</t>
  </si>
  <si>
    <t>Extintor De Incêndio Tipo Pp-12 Kg. (SISPAT: 33750037 - FCG: 3375)</t>
  </si>
  <si>
    <t>Extintor De Incêndio Tipo Pp-12 Kg. (SISPAT: 33750038 - FCG: 3375)</t>
  </si>
  <si>
    <t>Extintor De Incêndio Tipo Pp-12 Kg. (SISPAT: 33750039 - FCG: 3375)</t>
  </si>
  <si>
    <t>Extintor De Incêndio Tipo Pp-12kg. (SISPAT: 26683 - FCG: 15457)</t>
  </si>
  <si>
    <t>Extintor De Incêndio Tipo Pp-12kg. (SISPAT: 26684 - FCG: 15457)</t>
  </si>
  <si>
    <t>Extintor De Incêndio Tipo Pp-12kg. (SISPAT: 26685 - FCG: 15457)</t>
  </si>
  <si>
    <t>Extintor De Incêndio Tipo Pp-12kg. (SISPAT: 26686 - FCG: 15457)</t>
  </si>
  <si>
    <t>Extintor De Incêndio Tipo Pp-12kg. (SISPAT: 26687 - FCG: 15457)</t>
  </si>
  <si>
    <t>Extintor De Incêndio Tipo Pp-12kg. (SISPAT: 26688 - FCG: 15457)</t>
  </si>
  <si>
    <t>Extintor De Incêndio Tipo Pp-12kg. (SISPAT: 26689 - FCG: 15457)</t>
  </si>
  <si>
    <t>Extintor De Incêndio Tipo Pp-12kg. (SISPAT: 26691 - FCG: 15457)</t>
  </si>
  <si>
    <t>Extintor De Incêndio Tipo Pp-12kg. (SISPAT: 26692 - FCG: 15457)</t>
  </si>
  <si>
    <t>Extintor De Incêndio Tipo Pp-12kg. (SISPAT: 26693 - FCG: 15457)</t>
  </si>
  <si>
    <t>Extintor De Incêndio Tipo Pp-12kg. (SISPAT: 26694 - FCG: 15457)</t>
  </si>
  <si>
    <t>Extintor De Incêndio Tipo Pp-12kg. (SISPAT: 26695 - FCG: 15457)</t>
  </si>
  <si>
    <t>Extintor De Incêndio Tipo Pp-12kg. (SISPAT: 26696 - FCG: 15457)</t>
  </si>
  <si>
    <t>Extintor De Incêndio Tipo Pp-12kg. (SISPAT: 26697 - FCG: 15457)</t>
  </si>
  <si>
    <t>Extintor De Incêndio Tipo Pp-12kg. (SISPAT: 26698 - FCG: 15457)</t>
  </si>
  <si>
    <t>Extintor De Incêndio Tipo Pp-12kg. (SISPAT: 26699 - FCG: 15457)</t>
  </si>
  <si>
    <t>Extintor De Incêndio Tipo Pp-12kg. (SISPAT: 26700 - FCG: 15457)</t>
  </si>
  <si>
    <t>Extintor De Incêndio Tipo Pp-12kg. (SISPAT: 26701 - FCG: 15457)</t>
  </si>
  <si>
    <t>Extintor De Incêndio Tipo Pp-12kg. (SISPAT: 26702 - FCG: 15457)</t>
  </si>
  <si>
    <t>Extintor De Incêndio Tipo Pp-12kg. (SISPAT: 26703 - FCG: 15457)</t>
  </si>
  <si>
    <t>Extintor De Incêndio Tipo Pp-12kg. (SISPAT: 26704 - FCG: 15457)</t>
  </si>
  <si>
    <t>Extintor De Incêndio Tipo Pp-12kg. (SISPAT: 26705 - FCG: 15457)</t>
  </si>
  <si>
    <t>Extintor De Incêndio Tipo Pp-12kg. (SISPAT: 26706 - FCG: 15457)</t>
  </si>
  <si>
    <t>Extintor De Incêndio Tipo Pp-12kg. (SISPAT: 26707 - FCG: 15457)</t>
  </si>
  <si>
    <t>Extintor De Incêndio Tipo Pp-12kg. (SISPAT: 26708 - FCG: 15457)</t>
  </si>
  <si>
    <t>Extintor De Incêndio Tipo Pp-12kg. (SISPAT: 26709 - FCG: 15457)</t>
  </si>
  <si>
    <t>Extintor De Incêndio Tipo Pp-12kg. (SISPAT: 26710 - FCG: 15457)</t>
  </si>
  <si>
    <t>Extintor De Incêndio Tipo Pp-12kg. (SISPAT: 26711 - FCG: 15457)</t>
  </si>
  <si>
    <t>Extintor De Incêndio Tipo Pp-12 Kg. (SISPAT: 33750040 - FCG: 3375)</t>
  </si>
  <si>
    <t>Extintor De Incêndio Tipo Pp-12 Kg. (SISPAT: 33750041 - FCG: 3375)</t>
  </si>
  <si>
    <t>Extintor De Incêndio Tipo Pp-12 Kg. (SISPAT: 33750042 - FCG: 3375)</t>
  </si>
  <si>
    <t>Extintor De Incêndio Tipo Pp-12 Kg. (SISPAT: 33750043 - FCG: 3375)</t>
  </si>
  <si>
    <t>Extintor De Incêndio Tipo Pp-12 Kg. (SISPAT: 33750044 - FCG: 3375)</t>
  </si>
  <si>
    <t>Extintor De Incêndio Tipo Pp-12 Kg. (SISPAT: 33750045 - FCG: 3375)</t>
  </si>
  <si>
    <t>Extintor De Incêndio Tipo Pp-12 Kg. (SISPAT: 33750046 - FCG: 3375)</t>
  </si>
  <si>
    <t>Extintor De Incêndio Tipo Pp-12 Kg. (SISPAT: 33750047 - FCG: 3375)</t>
  </si>
  <si>
    <t>Extintor De Incêndio Tipo Pp-12 Kg. (SISPAT: 33750048 - FCG: 3375)</t>
  </si>
  <si>
    <t>Extintor De Incêndio Tipo Pp-12 Kg. (SISPAT: 33750049 - FCG: 3375)</t>
  </si>
  <si>
    <t>Extintor De Incêndio Tipo Pp-12 Kg. (SISPAT: 33750050 - FCG: 3375)</t>
  </si>
  <si>
    <t>Extintor De Incêndio Tipo Pp-12 Kg. (SISPAT: 33750051 - FCG: 3375)</t>
  </si>
  <si>
    <t>Extintor De Incêndio Tipo Pp-12 Kg. (SISPAT: 33750052 - FCG: 3375)</t>
  </si>
  <si>
    <t>Extintor De Incêndio Tipo Pp-12 Kg. (SISPAT: 33750053 - FCG: 3375)</t>
  </si>
  <si>
    <t>Extintor De Incêndio Tipo Pp-12 Kg. (SISPAT: 33750054 - FCG: 3375)</t>
  </si>
  <si>
    <t>Extintor De Incêndio Tipo Pp-12 Kg. (SISPAT: 33750055 - FCG: 3375)</t>
  </si>
  <si>
    <t>Extintor De Incêndio Tipo Pp-12 Kg. (SISPAT: 33750056 - FCG: 3375)</t>
  </si>
  <si>
    <t>Extintor De Incêndio Tipo Pp-12 Kg. (SISPAT: 33750057 - FCG: 3375)</t>
  </si>
  <si>
    <t>Extintor De Incêndio Tipo Pp-12 Kg. (SISPAT: 33750058 - FCG: 3375)</t>
  </si>
  <si>
    <t>Extintor De Incêndio Tipo Pp-12 Kg. (SISPAT: 33750059 - FCG: 3375)</t>
  </si>
  <si>
    <t>Extintor De Incêndio Tipo Pp-12 Kg. (SISPAT: 33750060 - FCG: 3375)</t>
  </si>
  <si>
    <t>Extintor De Incêndio Tipo Co2-06 Kg. (SISPAT: 33780001 - FCG: 3378)</t>
  </si>
  <si>
    <t>Extintor De Incêndio Tipo Co2-06 Kg. (SISPAT: 33780002 - FCG: 3378)</t>
  </si>
  <si>
    <t>Extintor De Incêndio Tipo Co2-06 Kg. (SISPAT: 33780003 - FCG: 3378)</t>
  </si>
  <si>
    <t>Extintor De Incêndio Tipo Co2-06 Kg. (SISPAT: 33780004 - FCG: 3378)</t>
  </si>
  <si>
    <t>Extintor De Incêndio Tipo Pp-12kg. (SISPAT: 26712 - FCG: 15457)</t>
  </si>
  <si>
    <t>Extintor De Incêndio Tipo Pp-12kg. (SISPAT: 26713 - FCG: 15457)</t>
  </si>
  <si>
    <t>Extintor De Incêndio Tipo Pp-12kg. (SISPAT: 26714 - FCG: 15457)</t>
  </si>
  <si>
    <t>Extintor De Incêndio Tipo Pp-12kg. (SISPAT: 26715 - FCG: 15457)</t>
  </si>
  <si>
    <t>Extintor De Incêndio Tipo Pp-12kg. (SISPAT: 26716 - FCG: 15457)</t>
  </si>
  <si>
    <t>Extintor De Incêndio Tipo Pp-12kg. (SISPAT: 26717 - FCG: 15457)</t>
  </si>
  <si>
    <t>Extintor De Incêndio Tipo Pp-12kg. (SISPAT: 26718 - FCG: 15457)</t>
  </si>
  <si>
    <t>Extintor De Incêndio Tipo Pp-12kg. (SISPAT: 26719 - FCG: 15457)</t>
  </si>
  <si>
    <t>Extintor De Incêndio Tipo Pp-12kg. (SISPAT: 26720 - FCG: 15457)</t>
  </si>
  <si>
    <t>Extintor De Incêndio Tipo Pp-12kg. (SISPAT: 26721 - FCG: 15457)</t>
  </si>
  <si>
    <t>Extintor De Incêndio Tipo Pp-12kg. (SISPAT: 26722 - FCG: 15457)</t>
  </si>
  <si>
    <t>Extintor De Incêndio Tipo Pp-12kg. (SISPAT: 26723 - FCG: 15457)</t>
  </si>
  <si>
    <t>Extintor De Incêndio Tipo Pp-12kg. (SISPAT: 26724 - FCG: 15457)</t>
  </si>
  <si>
    <t>Extintor De Incêndio Tipo Pp-12kg. (SISPAT: 26725 - FCG: 15457)</t>
  </si>
  <si>
    <t>Extintor De Incêndio Tipo Pp-12kg. (SISPAT: 26726 - FCG: 15457)</t>
  </si>
  <si>
    <t>Extintor De Incêndio Tipo Pp-12kg. (SISPAT: 26727 - FCG: 15457)</t>
  </si>
  <si>
    <t>Extintor De Incêndio Tipo Pp-12kg. (SISPAT: 26728 - FCG: 15457)</t>
  </si>
  <si>
    <t>Extintor De Incêndio Tipo Gás Carbônico, Com 20 Kg De Capacidade, Sobre Rodas. (SISPAT: 12665 - FCG: 17008)</t>
  </si>
  <si>
    <t>Extintor De Incêndio Tipo Pó Químico Seco, Com Capacidade Para 6kg. (SISPAT: 12711 - FCG: 17171)</t>
  </si>
  <si>
    <t>Extintor De Incêndio Tipo Pó Químico Seco, Com Capacidade Para 6kg. (SISPAT: 12712 - FCG: 17171)</t>
  </si>
  <si>
    <t>Extintor De Incêndio Tipo Pó Químico Seco, Com Capacidade Para 6kg. (SISPAT: 12713 - FCG: 17171)</t>
  </si>
  <si>
    <t>Extintor De Incêndio Tipo Pó Químico Seco, Com Capacidade Para 6kg. (SISPAT: 12715 - FCG: 17171)</t>
  </si>
  <si>
    <t>Extintor De Incêndio Tipo Pó Químico Seco, Com Capacidade Para 6kg. (SISPAT: 12716 - FCG: 17171)</t>
  </si>
  <si>
    <t>Extintor De Incêndio Tipo Pó Químico Seco, Com Capacidade Para 6kg. (SISPAT: 12723 - FCG: 17171)</t>
  </si>
  <si>
    <t>Extintor De Incêndio Tipo Co2-06 Kg. (SISPAT: 33780005 - FCG: 3378)</t>
  </si>
  <si>
    <t>Extintor De Incêndio Tipo Co2-06 Kg. (SISPAT: 33780006 - FCG: 3378)</t>
  </si>
  <si>
    <t>Extintor De Incêndio Tipo Co2-06 Kg. (SISPAT: 33780007 - FCG: 3378)</t>
  </si>
  <si>
    <t>Extintor De Incêndio Tipo Co2-06 Kg. (SISPAT: 33780008 - FCG: 3378)</t>
  </si>
  <si>
    <t>Extintor De Incêndio Tipo Co2-06 Kg. (SISPAT: 33780009 - FCG: 3378)</t>
  </si>
  <si>
    <t>Extintor De Incêndio Tipo Co2-06 Kg. (SISPAT: 33780010 - FCG: 3378)</t>
  </si>
  <si>
    <t>Extintor De Incêndio Tipo Co2-06 Kg. (SISPAT: 33780011 - FCG: 3378)</t>
  </si>
  <si>
    <t>Extintor De Incêndio Tipo Co2-06 Kg. (SISPAT: 33780012 - FCG: 3378)</t>
  </si>
  <si>
    <t>Extintor De Incêndio Tipo Co2-06 Kg. (SISPAT: 33780013 - FCG: 3378)</t>
  </si>
  <si>
    <t>Extintor De Incêndio Tipo Co2-06 Kg. (SISPAT: 33780014 - FCG: 3378)</t>
  </si>
  <si>
    <t>Extintor De Incêndio Tipo Co2-06 Kg. (SISPAT: 33780015 - FCG: 3378)</t>
  </si>
  <si>
    <t>Extintor De Incêndio Tipo Co2-06 Kg. (SISPAT: 33780016 - FCG: 3378)</t>
  </si>
  <si>
    <t>Extintor De Incêndio Tipo Co2-06 Kg. (SISPAT: 33780017 - FCG: 3378)</t>
  </si>
  <si>
    <t>Extintor De Incêndio Tipo Co2-06 Kg. (SISPAT: 33780018 - FCG: 3378)</t>
  </si>
  <si>
    <t>Extintor De Incêndio Tipo Co2-06 Kg. (SISPAT: 33780019 - FCG: 3378)</t>
  </si>
  <si>
    <t>Extintor De Incêndio Tipo Co2-06 Kg. (SISPAT: 33780020 - FCG: 3378)</t>
  </si>
  <si>
    <t>Extintor De Incêndio Tipo Co2-06 Kg. (SISPAT: 33780021 - FCG: 3378)</t>
  </si>
  <si>
    <t>Extintor De Incêndio Tipo Co2-06 Kg. (SISPAT: 33780022 - FCG: 3378)</t>
  </si>
  <si>
    <t>Extintor De Incêndio Tipo Co2-06 Kg. (SISPAT: 33780023 - FCG: 3378)</t>
  </si>
  <si>
    <t>Extintor De Incêndio Tipo Co2-06 Kg. (SISPAT: 33780024 - FCG: 3378)</t>
  </si>
  <si>
    <t>Extintor De Incêndio Tipo Co2-06 Kg. (SISPAT: 33780025 - FCG: 3378)</t>
  </si>
  <si>
    <t>Extintor De Incêndio Tipo Co2-06 Kg. (SISPAT: 33780026 - FCG: 3378)</t>
  </si>
  <si>
    <t>Extintor De Incêndio Tipo Co2-06 Kg. (SISPAT: 33780027 - FCG: 3378)</t>
  </si>
  <si>
    <t>Extintor De Incêndio Tipo Co2-06 Kg. (SISPAT: 33780028 - FCG: 3378)</t>
  </si>
  <si>
    <t>Extintor De Incêndio Tipo Co2-06 Kg. (SISPAT: 33780029 - FCG: 3378)</t>
  </si>
  <si>
    <t>Extintor De Incêndio Tipo Pó Químico Seco, Com Capacidade Para 6kg. (SISPAT: 12724 - FCG: 17171)</t>
  </si>
  <si>
    <t>Extintor De Incêndio Tipo Co-2, Gás Carbônico, Com Capacidade Para 6 Kg. (SISPAT: 12748 – FCG: 17172)</t>
  </si>
  <si>
    <t>Extintor De Incêndio Tipo Co-2, Gás Carbônico, Com Capacidade Para 6 Kg. (SISPAT: 12749 – FCG: 17172)</t>
  </si>
  <si>
    <t>Extintor De Incêndio Tipo Co-2, Gás Carbônico, Com Capacidade Para 6 Kg. (SISPAT: 12753 – FCG: 17172)</t>
  </si>
  <si>
    <t>Extintor De Incêndio Tipo Co-2, Gás Carbônico, Com Capacidade Para 6 Kg. (SISPAT: 12754 – FCG: 17172)</t>
  </si>
  <si>
    <t>Extintor De Incêndio Tipo Co-2, Gás Carbônico, Com Capacidade Para 6 Kg. (SISPAT: 12755 – FCG: 17172)</t>
  </si>
  <si>
    <t>Extintor De Incêndio Tipo Co-2, Gás Carbônico, Com Capacidade Para 6 Kg. (SISPAT: 12756 – FCG: 17172)</t>
  </si>
  <si>
    <t>Extintor De Incêndio Tipo Co-2, Gás Carbônico, Com Capacidade Para 6 Kg. (SISPAT: 12757 – FCG: 17172)</t>
  </si>
  <si>
    <t>Extintor De Incêndio Tipo Co-2, Gás Carbônico, Com Capacidade Para 6 Kg. (SISPAT: 12758 – FCG: 17172)</t>
  </si>
  <si>
    <t>Extintor De Incêndio Tipo Co-2, Gás Carbônico, Com Capacidade Para 6 Kg. (SISPAT: 12759 – FCG: 17172)</t>
  </si>
  <si>
    <t>Extintor De Incêndio Tipo Co-2, Gás Carbônico, Com Capacidade Para 6 Kg. (SISPAT: 12760 – FCG: 17172)</t>
  </si>
  <si>
    <t>Extintor De Incêndio Tipo Co-2, Gás Carbônico, Com Capacidade Para 6 Kg. (SISPAT: 12762 – FCG: 17172)</t>
  </si>
  <si>
    <t>Extintor De Incêndio Tipo Co-2, Gás Carbônico, Com Capacidade Para 6 Kg. (SISPAT: 12763 – FCG: 17172)</t>
  </si>
  <si>
    <t>Extintor De Incêndio Tipo Co-2, Gás Carbônico, Com Capacidade Para 6 Kg. (SISPAT: 12764 – FCG: 17172)</t>
  </si>
  <si>
    <t>Extintor De Incêndio Tipo Co-2, Gás Carbônico, Com Capacidade Para 6 Kg. (SISPAT: 12765 – FCG: 17172)</t>
  </si>
  <si>
    <t>Extintor De Incêndio Tipo Co-2, Gás Carbônico, Com Capacidade Para 6 Kg. (SISPAT: 12766 – FCG: 17172)</t>
  </si>
  <si>
    <t>Extintor De Incêndio Tipo Co-2, Gás Carbônico, Com Capacidade Para 6 Kg. (SISPAT: 12767 – FCG: 17172)</t>
  </si>
  <si>
    <t>Extintor De Incêndio Tipo Co-2, Gás Carbônico, Com Capacidade Para 6 Kg. (SISPAT: 12768 – FCG: 17172)</t>
  </si>
  <si>
    <t>Extintor De Incêndio Tipo Co2-06 Kg. (SISPAT: 33780030 - FCG: 3378)</t>
  </si>
  <si>
    <t>Extintor De Incêndio Tipo Co2-06 Kg. (SISPAT: 33780031 - FCG: 3378)</t>
  </si>
  <si>
    <t>Extintor De Incêndio Tipo Co2-06 Kg. (SISPAT: 33780032 - FCG: 3378)</t>
  </si>
  <si>
    <t>Extintor De Incêndio Tipo Co2-06 Kg. (SISPAT: 33780033 - FCG: 3378)</t>
  </si>
  <si>
    <t>Extintor De Incêndio Tipo Co2-06 Kg. (SISPAT: 33780034 - FCG: 3378)</t>
  </si>
  <si>
    <t>Extintor De Incêndio Tipo Co2-06 Kg. (SISPAT: 33780035 - FCG: 3378)</t>
  </si>
  <si>
    <t>Extintor De Incêndio Tipo Co2-06 Kg. (SISPAT: 33780036 - FCG: 3378)</t>
  </si>
  <si>
    <t>Extintor De Incêndio Tipo Co2-06 Kg. (SISPAT: 33780037 - FCG: 3378)</t>
  </si>
  <si>
    <t>Extintor De Incêndio Tipo Co2-06 Kg. (SISPAT: 33780038 - FCG: 3378)</t>
  </si>
  <si>
    <t>Extintor De Incêndio Tipo Co2-06 Kg. (SISPAT: 33780039 - FCG: 3378)</t>
  </si>
  <si>
    <t>Extintor De Incêndio Tipo Co2-06 Kg. (SISPAT: 33780040 - FCG: 3378)</t>
  </si>
  <si>
    <t>Extintor De Incêndio Tipo Co2-06 Kg. (SISPAT: 33780041 - FCG: 3378)</t>
  </si>
  <si>
    <t>Extintor De Incêndio Tipo Co2-06 Kg. (SISPAT: 33780042 - FCG: 3378)</t>
  </si>
  <si>
    <t>Extintor De Incêndio Tipo Co2-06 Kg. (SISPAT: 33780043 - FCG: 3378)</t>
  </si>
  <si>
    <t>Extintor De Incêndio Tipo Co2-06 Kg. (SISPAT: 33780044 - FCG: 3378)</t>
  </si>
  <si>
    <t>Extintor De Incêndio Tipo Co2-06 Kg. (SISPAT: 33780045 - FCG: 3378)</t>
  </si>
  <si>
    <t>Extintor De Incêndio Tipo Co2-06 Kg. (SISPAT: 33780046 - FCG: 3378)</t>
  </si>
  <si>
    <t>Extintor De Incêndio Tipo Co2-06 Kg. (SISPAT: 33780047 - FCG: 3378)</t>
  </si>
  <si>
    <t>Extintor De Incêndio Tipo Co2-06 Kg. (SISPAT: 33780048 - FCG: 3378)</t>
  </si>
  <si>
    <t>Extintor De Incêndio Tipo Co2-06 Kg. (SISPAT: 33780049 - FCG: 3378)</t>
  </si>
  <si>
    <t>Extintor De Incêndio Tipo Co2-06 Kg. (SISPAT: 33780050 - FCG: 3378)</t>
  </si>
  <si>
    <t>Extintor De Incêndio Tipo Co2-06 Kg. (SISPAT: 33780051 - FCG: 3378)</t>
  </si>
  <si>
    <t>Extintor De Incêndio Tipo Co2-06 Kg. (SISPAT: 33780052 - FCG: 3378)</t>
  </si>
  <si>
    <t>Extintor De Incêndio Tipo Co2-06 Kg. (SISPAT: 33780053 - FCG: 3378)</t>
  </si>
  <si>
    <t>Extintor De Incêndio Tipo Co2-06 Kg. (SISPAT: 33780054 - FCG: 3378)</t>
  </si>
  <si>
    <t>Extintor De Incêndio Tipo Co-2, Gás Carbônico, Com Capacidade Para 6 Kg. (SISPAT: 12769 – FCG: 17172)</t>
  </si>
  <si>
    <t>Extintor De Incêndio Tipo Co2-06 Kg. (SISPAT: 33780055 - FCG: 3378)</t>
  </si>
  <si>
    <t>Extintor De Incêndio Tipo Co2-06 Kg. (SISPAT: 33780056 - FCG: 3378)</t>
  </si>
  <si>
    <t>Extintor De Incêndio Tipo Co2-06 Kg. (SISPAT: 33780057 - FCG: 3378)</t>
  </si>
  <si>
    <t>Extintor De Incêndio Tipo Co2-06 Kg. (SISPAT: 33780058 - FCG: 3378)</t>
  </si>
  <si>
    <t>Extintor De Incêndio Tipo Co2-06 Kg. (SISPAT: 33780059 - FCG: 3378)</t>
  </si>
  <si>
    <t>Extintor De Incêndio Tipo Co2-06 Kg. (SISPAT: 33780060 - FCG: 3378)</t>
  </si>
  <si>
    <t>Extintor De Incêndio Tipo Co2-10 Kg. (SISPAT: 33890001 - FCG: 3389)</t>
  </si>
  <si>
    <t>Extintor De Incêndio Tipo Co2-10 Kg. (SISPAT: 33890002 - FCG: 3389)</t>
  </si>
  <si>
    <t>Extintor De Incêndio Tipo Co2-10 Kg. (SISPAT: 33890003 - FCG: 3389)</t>
  </si>
  <si>
    <t>Extintor De Incêndio Tipo Co2-10 Kg. (SISPAT: 33890004 - FCG: 3389)</t>
  </si>
  <si>
    <t>Extintor De Incêndio Tipo Co2-10 Kg. (SISPAT: 33890005 - FCG: 3389)</t>
  </si>
  <si>
    <t>Extintor De Incêndio Tipo Co2-10 Kg. (SISPAT: 33890006 - FCG: 3389)</t>
  </si>
  <si>
    <t>Extintor De Incêndio Tipo Emp-10l. (SISPAT: 33920001 - FCG: 3392)</t>
  </si>
  <si>
    <t>Extintor De Incêndio Tipo Emp-10l. (SISPAT: 33920002 - FCG: 3392)</t>
  </si>
  <si>
    <t>Extintor De Incêndio Tipo Emp-10l. (SISPAT: 33920003 - FCG: 3392)</t>
  </si>
  <si>
    <t>Extintor De Incêndio Tipo Emp-10l. (SISPAT: 33920004 - FCG: 3392)</t>
  </si>
  <si>
    <t>Extintor De Incêndio Tipo Emp-10l. (SISPAT: 33920005 - FCG: 3392)</t>
  </si>
  <si>
    <t>Extintor De Incêndio Tipo Emp-10l. (SISPAT: 33920006 - FCG: 3392)</t>
  </si>
  <si>
    <t>Extintor De Incêndio Tipo Emp-10l. (SISPAT: 33920007 - FCG: 3392)</t>
  </si>
  <si>
    <t>Extintor De Incêndio Tipo Emp-10l. (SISPAT: 33920008 - FCG: 3392)</t>
  </si>
  <si>
    <t>Extintor De Incêndio Tipo Emp-10l. (SISPAT: 33920009 - FCG: 3392)</t>
  </si>
  <si>
    <t>Extintor De Incêndio Tipo Emp-10l. (SISPAT: 33920010 - FCG: 3392)</t>
  </si>
  <si>
    <t>Extintor De Incêndio Tipo Emp-10l. (SISPAT: 33920011 - FCG: 3392)</t>
  </si>
  <si>
    <t>Extintor De Incêndio Tipo Emp-10l. (SISPAT: 33920012 - FCG: 3392)</t>
  </si>
  <si>
    <t>Extintor De Incêndio Tipo Emp-10l. (SISPAT: 33920013 - FCG: 3392)</t>
  </si>
  <si>
    <t>Extintor De Incêndio Tipo Emp-10l. (SISPAT: 33920014 - FCG: 3392)</t>
  </si>
  <si>
    <t>Extintor De Incêndio Tipo Emp-10l. (SISPAT: 33920015 - FCG: 3392)</t>
  </si>
  <si>
    <t>Extintor De Incêndio Tipo Emp-10l. (SISPAT: 33920016 - FCG: 3392)</t>
  </si>
  <si>
    <t>Extintor De Incêndio Tipo Emp-10l. (SISPAT: 33920017 - FCG: 3392)</t>
  </si>
  <si>
    <t>Extintor De Incêndio Tipo Emp-10l. (SISPAT: 33920018 - FCG: 3392)</t>
  </si>
  <si>
    <t>Extintor De Incêndio Tipo Emp-10l. (SISPAT: 33920019 - FCG: 3392)</t>
  </si>
  <si>
    <t>Extintor De Incêndio Tipo Emp-10l. (SISPAT: 33920020 - FCG: 3392)</t>
  </si>
  <si>
    <t>Extintor De Incêndio Tipo Emp-10l. (SISPAT: 33920021 - FCG: 3392)</t>
  </si>
  <si>
    <t>Extintor De Incêndio Tipo Emp-10l. (SISPAT: 33920022 - FCG: 3392)</t>
  </si>
  <si>
    <t>Extintor De Incêndio Tipo Emp-10l. (SISPAT: 33920023 - FCG: 3392)</t>
  </si>
  <si>
    <t>Extintor De Incêndio Tipo Emp-10l. (SISPAT: 33920024 - FCG: 3392)</t>
  </si>
  <si>
    <t>Extintor De Incêndio Tipo Emp-10l. (SISPAT: 33920025 - FCG: 3392)</t>
  </si>
  <si>
    <t>Extintor De Incêndio Tipo Emp-10l. (SISPAT: 33920026 - FCG: 3392)</t>
  </si>
  <si>
    <t>Extintor De Incêndio Tipo Emp-10l. (SISPAT: 33920027 - FCG: 3392)</t>
  </si>
  <si>
    <t>Extintor De Incêndio Tipo Emp-10l. (SISPAT: 33920028 - FCG: 3392)</t>
  </si>
  <si>
    <t>Extintor De Incêndio Tipo Emp-10l. (SISPAT: 33920029 - FCG: 3392)</t>
  </si>
  <si>
    <t>Extintor De Incêndio Tipo Emp-10l. (SISPAT: 33920030 - FCG: 3392)</t>
  </si>
  <si>
    <t>Extintor De Incêndio Tipo Emp-10l. (SISPAT: 33920031 - FCG: 3392)</t>
  </si>
  <si>
    <t>Extintor De Incêndio Tipo Emp-10l. (SISPAT: 33920032 - FCG: 3392)</t>
  </si>
  <si>
    <t>Extintor De Incêndio Tipo Emp-10l. (SISPAT: 33920033 - FCG: 3392)</t>
  </si>
  <si>
    <t>Extintor De Incêndio Tipo Emp-10l. (SISPAT: 33920034 - FCG: 3392)</t>
  </si>
  <si>
    <t>Extintor De Incêndio Tipo Emp-10l. (SISPAT: 33920035 - FCG: 3392)</t>
  </si>
  <si>
    <t>Extintor De Incêndio Tipo Emp-10l. (SISPAT: 33920036 - FCG: 3392)</t>
  </si>
  <si>
    <t>Extintor De Incêndio Tipo Emp-10l. (SISPAT: 33920037 - FCG: 3392)</t>
  </si>
  <si>
    <t>Extintor De Incêndio Tipo Emp-10l. (SISPAT: 33920038 - FCG: 3392)</t>
  </si>
  <si>
    <t>Extintor De Incêndio Tipo Emp-10l. (SISPAT: 33920039 - FCG: 3392)</t>
  </si>
  <si>
    <t>Extintor De Incêndio, Tipo Co2, Com 6 Kg. (SISPAT: 419009 - FCG: 419)</t>
  </si>
  <si>
    <t>Extintor De Incêndio, Tipo Co2, Com 6 Kg. (SISPAT: 419010 - FCG: 419)</t>
  </si>
  <si>
    <t>Extintor De Incêndio, Tipo Co2, Com 6 Kg. (SISPAT: 419011 - FCG: 419)</t>
  </si>
  <si>
    <t>Extintor De Incêndio, Tipo Co2, Com 6 Kg. (SISPAT: 419012 - FCG: 419)</t>
  </si>
  <si>
    <t>Extintor De Incêndio, Tipo Co2, Com 6 Kg. (SISPAT: 419013 - FCG: 419)</t>
  </si>
  <si>
    <t>Extintor De Incêndio, Tipo Co2, Com 6 Kg. (SISPAT: 419014 - FCG: 419)</t>
  </si>
  <si>
    <t>Extintor De Incêndio, Tipo Co2, Com 6 Kg. (SISPAT: 419015 - FCG: 419)</t>
  </si>
  <si>
    <t>Extintor De Incêndio, Tipo Co2, Com 6 Kg. (SISPAT: 419016 - FCG: 419)</t>
  </si>
  <si>
    <t>Extintor De Incêndio, Tipo Co2, Com 6 Kg. (SISPAT: 419017 - FCG: 419)</t>
  </si>
  <si>
    <t>Extintor De Incêndio, Tipo Co2, Com 6 Kg. (SISPAT: 419018 - FCG: 419)</t>
  </si>
  <si>
    <t>Extintor De Incêndio, Tipo Pó Químico Seco, Com 6 Kg. (SISPAT: 423005 - FCG: 423)</t>
  </si>
  <si>
    <t>Extintor De Incêndio, Tipo Pó Químico Seco, Com 6 Kg. (SISPAT: 423006 - FCG: 423)</t>
  </si>
  <si>
    <t>Extintor De Incêndio, Tipo Pó Químico Seco, Com 6 Kg. (SISPAT: 423007 - FCG: 423)</t>
  </si>
  <si>
    <t>Extintor De Incêndio, Tipo Pó Químico Seco, Com 6 Kg. (SISPAT: 423008 - FCG: 423)</t>
  </si>
  <si>
    <t>Extintor De Incêndio, Tipo Pó Químico Seco, Com 6 Kg. (SISPAT: 423009 - FCG: 423)</t>
  </si>
  <si>
    <t>Extintor De Incêndio, Tipo Pó Químico Seco, Com 6 Kg. (SISPAT: 423010 - FCG: 423)</t>
  </si>
  <si>
    <t>Extintor De Incêndio, Tipo Pó Químico Seco, Com 6 Kg. (SISPAT: 423011 - FCG: 423)</t>
  </si>
  <si>
    <t>Extintor De Incêndio, Tipo Pó Químico Seco, Com 6 Kg. (SISPAT: 423012 - FCG: 423)</t>
  </si>
  <si>
    <t>Extintor De Incêndio, Tipo Pó Químico Seco, Com 6 Kg. (SISPAT: 423013 - FCG: 423)</t>
  </si>
  <si>
    <t>Extintor De Incêndio, Tipo Pó Químico Seco, Com 6 Kg. (SISPAT: 423014 - FCG: 423)</t>
  </si>
  <si>
    <t>Extintor De Incêndio, Tipo Pó Químico Seco, Com 6 Kg. (SISPAT: 423015 - FCG: 423)</t>
  </si>
  <si>
    <t>Extintor De Incêndio, Tipo Pó Químico Seco, Com 6 Kg. (SISPAT: 423016 - FCG: 423)</t>
  </si>
  <si>
    <t>Extintor De Incêndio, Tipo Pó Químico Seco, Com 6 Kg. (SISPAT: 423017 - FCG: 423)</t>
  </si>
  <si>
    <t>Extintor De Incêndio, Tipo Pó Químico Seco, Com 6 Kg. (SISPAT: 423018 - FCG: 423)</t>
  </si>
  <si>
    <t>Extintor De Incêndio, Tipo Co2, Com 6 Kg. (SISPAT: 419019 - FCG: 419)</t>
  </si>
  <si>
    <t>Extintor De Incêndio, Tipo Pó Químico Seco, Com 8 Kg. (SISPAT: 424005 - FCG: 424)</t>
  </si>
  <si>
    <t>Extintor De Incêndio, Tipo Pó Químico Seco, Com 8 Kg. (SISPAT: 424006 - FCG: 424)</t>
  </si>
  <si>
    <t>Extintor De Incêndio, Tipo Pó Químico Seco, Com 8 Kg. (SISPAT: 424007 - FCG: 424)</t>
  </si>
  <si>
    <t>Extintor De Incêndio, Tipo Pó Químico Seco, Com 8 Kg. (SISPAT: 424008 - FCG: 424)</t>
  </si>
  <si>
    <t>Extintor De Incêndio, Tipo Pó Químico Seco, Com 8 Kg. (SISPAT: 424009 - FCG: 424)</t>
  </si>
  <si>
    <t>Extintor De Incêndio, Tipo Pó Químico Seco, Com 8 Kg. (SISPAT: 424010 - FCG: 424)</t>
  </si>
  <si>
    <t>Extintor De Incêndio, Tipo Pó Químico Seco, Com 8 Kg. (SISPAT: 424011 - FCG: 424)</t>
  </si>
  <si>
    <t>Extintor De Incêndio, Tipo Pó Químico Seco, Com 8 Kg. (SISPAT: 424012 - FCG: 424)</t>
  </si>
  <si>
    <t>Extintor De Incêndio, Tipo Pó Químico Seco, Com 8 Kg. (SISPAT: 424013 - FCG: 424)</t>
  </si>
  <si>
    <t>Extintor De Incêndio, Tipo Pó Químico Seco, Com 8 Kg. (SISPAT: 424014 - FCG: 424)</t>
  </si>
  <si>
    <t>Extintor De Incêndio, Tipo Pó Químico Seco, Com 12 Kg. (SISPAT: 426003 - FCG: 426)</t>
  </si>
  <si>
    <t>Extintor De Incêndio, Tipo Pó Químico Seco, Com 12 Kg. (SISPAT: 426004 - FCG: 426)</t>
  </si>
  <si>
    <t>Extintor De Incêndio, Tipo Pó Químico Seco, Com 12 Kg. (SISPAT: 426005 - FCG: 426)</t>
  </si>
  <si>
    <t>Extintor De Incêndio, Tipo Pó Químico Seco, Com 12 Kg. (SISPAT: 426006 - FCG: 426)</t>
  </si>
  <si>
    <t>Extintor De Incêndio, Tipo Pó Químico Seco, Com 12 Kg. (SISPAT: 426007 - FCG: 426)</t>
  </si>
  <si>
    <t>Extintor De Incêndio, Tipo Pó Químico Seco, Com 12 Kg. (SISPAT: 426008 - FCG: 426)</t>
  </si>
  <si>
    <t>Extintor De Incêndio, Tipo Água Pressurizada, Com 10 Litros. (SISPAT: 429003 - FCG: 429)</t>
  </si>
  <si>
    <t>Extintor De Incêndio, Tipo Água Pressurizada, Com 10 Litros. (SISPAT: 429004 - FCG: 429)</t>
  </si>
  <si>
    <t>Extintor De Incêndio, Tipo Água Pressurizada, Com 10 Litros. (SISPAT: 429005 - FCG: 429)</t>
  </si>
  <si>
    <t>Extintor De Incêndio, Tipo Água Pressurizada, Com 10 Litros. (SISPAT: 429006 - FCG: 429)</t>
  </si>
  <si>
    <t>Extintor De Incêndio, Tipo Água Pressurizada, Com 10 Litros. (SISPAT: 429007 - FCG: 429)</t>
  </si>
  <si>
    <t>Extintor De Incêndio, Tipo Água Pressurizada, Com 10 Litros. (SISPAT: 429008 - FCG: 429)</t>
  </si>
  <si>
    <t>Extintor De Incêndio, Tipo Água Pressurizada, Com 10 Litros. (SISPAT: 429009 - FCG: 429)</t>
  </si>
  <si>
    <t>Extintor De Incêndio, Tipo Água Pressurizada, Com 10 Litros. (SISPAT: 429010 - FCG: 429)</t>
  </si>
  <si>
    <t>Extintor De Incêndio Do Tipo Espuma (Emp), 09 Litros. (SISPAT: 1031001 - FCG: 1031)</t>
  </si>
  <si>
    <t>Extintor De Incêndio Do Tipo Espuma (Emp), 09 Litros. (SISPAT: 1031002 - FCG: 1031)</t>
  </si>
  <si>
    <t>Extintor De Incêndio Do Tipo Espuma (Emp), 09 Litros. (SISPAT: 1031003 - FCG: 1031)</t>
  </si>
  <si>
    <t>Extintor De Incêndio Do Tipo Espuma (Emp), 09 Litros. (SISPAT: 1031004 - FCG: 1031)</t>
  </si>
  <si>
    <t>Extintor De Incêndio Ap-10l (SISPAT: 8855001 - FCG: 8855)</t>
  </si>
  <si>
    <t>Extintor De Incêndio Ap-10l (SISPAT: 8855002 - FCG: 8855)</t>
  </si>
  <si>
    <t>Extintor De Incêndio Ap-10l (SISPAT: 8855003 - FCG: 8855)</t>
  </si>
  <si>
    <t>Extintor De Incêndio Ap-10l (SISPAT: 8855004 - FCG: 8855)</t>
  </si>
  <si>
    <t>Extintor De Incêndio Ap-10l (SISPAT: 8855005 - FCG: 8855)</t>
  </si>
  <si>
    <t>Extintor De Incêndio Ap-10l (SISPAT: 8855006 - FCG: 8855)</t>
  </si>
  <si>
    <t>Extintor De Incêndio Ap-10l (SISPAT: 8855007 - FCG: 8855)</t>
  </si>
  <si>
    <t>Extintor De Incêndio Ap-10l (SISPAT: 8855008 - FCG: 8855)</t>
  </si>
  <si>
    <t>Extintor De Incêndio Ap-10l (SISPAT: 8855009 - FCG: 8855)</t>
  </si>
  <si>
    <t>Extintor De Incêndio Ap-10l (SISPAT: 8855010 - FCG: 8855)</t>
  </si>
  <si>
    <t>Extintor De Incêndio Ap-10l (SISPAT: 8855011 - FCG: 8855)</t>
  </si>
  <si>
    <t>Extintor De Incêndio Ap-10l (SISPAT: 8855012 - FCG: 8855</t>
  </si>
  <si>
    <t>Extintor De Incêndio Ap-10l (SISPAT: 8855013 - FCG: 8855)</t>
  </si>
  <si>
    <t>Extintor De Incêndio Ap-10l (SISPAT: 8855014 - FCG: 8855)</t>
  </si>
  <si>
    <t>Extintor De Incêndio Ap-10l (SISPAT: 8855015 - FCG: 8855)</t>
  </si>
  <si>
    <t>Extintor De Incêndio Ap-10l (SISPAT: 8855016 - FCG: 8855)</t>
  </si>
  <si>
    <t>Extintor De Incêndio Ap-10l (SISPAT: 8855017 - FCG: 8855)</t>
  </si>
  <si>
    <t>Extintor De Incêndio Pp, Cap. 04kg. (SISPAT: 2221002 - FCG: 2221)</t>
  </si>
  <si>
    <t>Extintor De Incêndio Pp, Cap. 04kg. (SISPAT: 2221003 - FCG: 2221)</t>
  </si>
  <si>
    <t>Extintor De Incêndio Pp, Cap. 04kg. (SISPAT: 2221004 - FCG: 2221)</t>
  </si>
  <si>
    <t>Extintor De Incêndio Pp, Cap. 04kg. (SISPAT: 2221005 - FCG: 2221)</t>
  </si>
  <si>
    <t>Extintor De Incêndio Pp, Cap. 04kg. (SISPAT: 2221006 - FCG: 2221)</t>
  </si>
  <si>
    <t>Extintor De Incêndio Pp, Cap. 04kg. (SISPAT: 2221007 - FCG: 2221)</t>
  </si>
  <si>
    <t>Extintor De Incêndio Pp, Cap. 04kg. (SISPAT: 2221008 - FCG: 2221)</t>
  </si>
  <si>
    <t>Extintor De Incêndio Pp, Cap. 04kg. (SISPAT: 2221009 - FCG: 2221)</t>
  </si>
  <si>
    <t>Extintor De Incêndio Pp, Cap. 04kg. (SISPAT: 2221013 - FCG: 2221)</t>
  </si>
  <si>
    <t>Extintor De Incêndio, Tipo Pqs, 6kg. (SISPAT: 6800006 - FCG: 6800)</t>
  </si>
  <si>
    <t>Extintor De Incêndio, Tipo Pqs, 6kg. (SISPAT: 6800007 - FCG: 6800)</t>
  </si>
  <si>
    <t>Extintor De Incêndio, Tipo Pqs, 6kg. (SISPAT: 6800008 - FCG: 6800)</t>
  </si>
  <si>
    <t>Extintor De Incêndio, Tipo Pqs, 6kg. (SISPAT: 6800009 - FCG: 6800)</t>
  </si>
  <si>
    <t>Extintor De Incêndio, Tipo Pqs, 6kg. (SISPAT: 6800010 - FCG: 6800)</t>
  </si>
  <si>
    <t>Extintor De Incêndio Pp, Cap. 04kg. (SISPAT: 2221027 - FCG: 2221)</t>
  </si>
  <si>
    <t>Extintor De Incêndio Pp, Cap. 04kg. (SISPAT: 2221049 - FCG: 2221)</t>
  </si>
  <si>
    <t>Extintor De Incêndio Pp, Cap. 04kg. (SISPAT: 2221056 - FCG: 2221)</t>
  </si>
  <si>
    <t>Extintor De Incêndio Pp, Cap. 04kg. (SISPAT: 2221057 - FCG: 2221)</t>
  </si>
  <si>
    <t>Extintor De Incêndio Pp, Cap. 04kg. (SISPAT: 2221058 - FCG: 2221)</t>
  </si>
  <si>
    <t>Extintor De Incêndio Pp, Cap. 04kg. (SISPAT: 2221062 - FCG: 2221)</t>
  </si>
  <si>
    <t>Extintor De Incêndio Tipo Espuma, Cap. 10l. (SISPAT: 2221064 - FCG: 2221)</t>
  </si>
  <si>
    <t>Extintor De Incêndio Tipo Água Pressurizada, Cap. 10l. (SISPAT: 2221065 - FCG: 2221)</t>
  </si>
  <si>
    <t>Extintor De Incêndio Pp, Cap. 04kg. (SISPAT: 2221067 - FCG: 2221)</t>
  </si>
  <si>
    <t>Extintor De Incêndio, Tipo Pqs, 50kg. (SISPAT: 7268002 - FCG: 7268)</t>
  </si>
  <si>
    <t>Extintor De Incêndio, Tipo Pqs, 50kg. (SISPAT: 7268003 - FCG: 7268)</t>
  </si>
  <si>
    <t>Extintor De Incêndio, Tipo Co2, Com 6 Kg</t>
  </si>
  <si>
    <t>Extintor De Incêndio, Tipo Pó Químico Seco, 6 Kg.</t>
  </si>
  <si>
    <t>Extintor De Incêndio, Tipo Pó Químico Seco, Com 8 Kg.</t>
  </si>
  <si>
    <t>Extintor De Incêndio, Tipo Co2, Com 4 Kg.</t>
  </si>
  <si>
    <t>Extintor De Incêndio, Tipo Pó Químico Seco, Com 10 Kg</t>
  </si>
  <si>
    <t>Extintor De Incêndio, Tipo Pó Químico Seco, Com 4 Kg</t>
  </si>
  <si>
    <t>Extintor De Incêndio, Capacidade 04 Kg, Material Carga Pó Químico Tipo Abc, Marca Metalcasty.</t>
  </si>
  <si>
    <t>Extintor De Incêndio, Capacidade 04 Kg, Material Carga Gás Carbonico, Marca Metalcasty.</t>
  </si>
  <si>
    <t>Extintor De Incêndio, Capacidade 10l, Material Carga Água Pressurizada, Marca Metalcasty.</t>
  </si>
  <si>
    <t>Extintor De Incêndio Tipo Abc De 6 Kg - Valid.05 Anos</t>
  </si>
  <si>
    <t>Extintor De Incêndio Tipo Abc 06 Kg - Validade 05 Anos</t>
  </si>
  <si>
    <t>📋</t>
  </si>
  <si>
    <t>Estabilizador De Tensão Bmi , Bivolt, Mod. Microline Iii Ml1000b1 (SISPAT: 452136 - FCG: 18755 - Nº SÉRIE:DACTA2/2010-086)</t>
  </si>
  <si>
    <t>F 06</t>
  </si>
  <si>
    <t>Transceptor Móvel Monocanal, Vhf/Fm, Faixa De Operação 148 A 174.999 Mhz, Potência De 45w,Marca Motorola, Acompanhado De Antena Com Cabo Coaxial Medidor 4.400mm, Microfone, Kit DeInstalação E Manual Técnico. (SISPAT: 9911 - FCG: 11105)</t>
  </si>
  <si>
    <t>F 08</t>
  </si>
  <si>
    <t>TROCA NOMEN.</t>
  </si>
  <si>
    <t>Transceptor Móvel Monocanal, Vhf/Fm, Faixa De Operação 148 A 174.999 Mhz, Potência De 45w, Marca Motorola, Acompanhado De Antena Com Cabo Coaxial Medidor 4.400mm, Microfone, Kit DeInstalação E Manual Técnico. (SISPAT: 9912 - FCG: 11105)</t>
  </si>
  <si>
    <t>MANUTENÇÃO</t>
  </si>
  <si>
    <t>Transceptor Móvel Monocanal, Vhf/Fm, Faixa De Operação 148 A 174.999 Mhz, Potência De 45w, Marca Motorola, Acompanhado De Antena Com Cabo Coaxial Medidor 4.400mm, Microfone, Kit DeInstalação E Manual Técnico. (SISPAT: 9913 - FCG: 11105)</t>
  </si>
  <si>
    <t>Transceptor Móvel Monocanal, Vhf/Fm, Faixa De Operação 148 A 174.999 Mhz, Potência De 45w, Marca Motorola, Acompanhado De Antena Com Cabo Coaxial Medidor 4.400mm, Microfone, Kit DeInstalação E Manual Técnico. (SISPAT: 9914 - FCG: 11105)</t>
  </si>
  <si>
    <t>Transceptor Móvel Monocanal, Vhf/Fm, Faixa De Operação 148 A 174.999 Mhz, Potência De 45w, Marca Motorola, Acompanhado De Antena Com Cabo Coaxial Medidor 4.400mm, Microfone, Kit DeInstalação E Manual Técnico. (SISPAT: 9915 - FCG: 11105)</t>
  </si>
  <si>
    <t>Transceptor Fixo Monocanal, Vhf/Fm, Faixa De Operações 148 A 174.999mhz, Potência De 45w Com Fonte De Flutuação Marca Motorola. (SISPAT: 9919 - FCG: 11130)</t>
  </si>
  <si>
    <t>DOC</t>
  </si>
  <si>
    <t>PARTE 1241</t>
  </si>
  <si>
    <t>Rádio Transceptor Móvel Vhf, Nº De Série 019nes0117, Motorola Completo. (SISPAT: 28665 - FCG: 13037)</t>
  </si>
  <si>
    <t>SUBP. 10469</t>
  </si>
  <si>
    <t>Balança Eletrônica, De 150 Kg. (SISPAT: 258401 - FCG: 2584)</t>
  </si>
  <si>
    <t>Calibrador De Pneu De Parede De 0 Até 80 Libras. Marca Garagem. (SISPAT: 36440001 - FCG: 3644)</t>
  </si>
  <si>
    <t>TRANSFERIDO</t>
  </si>
  <si>
    <t>SUBP. 4228</t>
  </si>
  <si>
    <t>Paquímetro Mytutoyo De 6 Pol. (SISPAT: 5151 - FCG: 3582)</t>
  </si>
  <si>
    <t>SUBP. 4358</t>
  </si>
  <si>
    <t>Equipamento De Teste Hidrostatico De Ampolas Completo. (SISPAT: 27238 - FCG: 16317)</t>
  </si>
  <si>
    <t>Balança Eletrônica Digital, Capacidade De Ate 50 Kg, 110/220v. (SISPAT: 13973 - FCG: 9)</t>
  </si>
  <si>
    <t>Balança De 25 Kg - Bancada 24 Cm/36 Cm Divisao 50g - Leitura Regua Mecanica, Modelo 250. (SISPAT: 7327 - FCG: 4124)</t>
  </si>
  <si>
    <t>SUBP. 10468</t>
  </si>
  <si>
    <t>Aparelho Telefônico Comum De Teclas Padrão Telebras. (SISPAT: 241626 - FCG: 2416)</t>
  </si>
  <si>
    <t>Aparelho Telefônico Comum De Teclas Padrão Telebras. (SISPAT: 241627 - FCG: 2416)</t>
  </si>
  <si>
    <t>Aparelho Telefônico Comum De Teclas Padrão Telebras. (SISPAT: 241628 - FCG: 2416)</t>
  </si>
  <si>
    <t>Aparelho Telefônico Comum De Teclas Padrão Telebras. (SISPAT: 241629 - FCG: 2416)</t>
  </si>
  <si>
    <t>Aparelho De Fax, Sem Secretária E Com Corte Automático De Papel, 110v, Marca Sharp, Modelo Ux 66,N/S 17123443. (SISPAT: 19918 - FCG: 5187)</t>
  </si>
  <si>
    <t>Conjunto De Laringofone. (SISPAT: 33540001 - FCG: 3354)</t>
  </si>
  <si>
    <t>Conjunto De Laringofone. (SISPAT: 33540002 - FCG: 3354)</t>
  </si>
  <si>
    <t>Conjunto De Laringofone. (SISPAT: 33540003 - FCG: 3354)</t>
  </si>
  <si>
    <t>Conjunto De Laringofone. (SISPAT: 33540004 - FCG: 3354)</t>
  </si>
  <si>
    <t>Conjunto De Laringofone. (SISPAT: 33540005 - FCG: 3354)</t>
  </si>
  <si>
    <t>Conjunto De Laringofone. (SISPAT: 33540006 - FCG: 3354)</t>
  </si>
  <si>
    <t>Rádio Transceptor Vhf Portátil, Completo. (SISPAT: 33550001 - FCG: 3355)</t>
  </si>
  <si>
    <t>Rádio Transceptor Vhf Portátil, Completo. (SISPAT: 33550002 - FCG: 3355)</t>
  </si>
  <si>
    <t>Rádio Transceptor Vhf Portátil, Completo. (SISPAT: 33550003 - FCG: 3355)</t>
  </si>
  <si>
    <t>Rádio Transceptor Vhf Portátil, Completo. (SISPAT: 33550004 - FCG: 3355)</t>
  </si>
  <si>
    <t>Rádio Transceptor Vhf Portátil, Completo. (SISPAT: 33550005 - FCG: 3355)</t>
  </si>
  <si>
    <t>Rádio Transceptor Vhf Portátil, Completo. (SISPAT: 33550006 - FCG: 3355)</t>
  </si>
  <si>
    <t>Paquímetro Marca Mitutoyo. (SISPAT: 19308 - FCG: 3900)</t>
  </si>
  <si>
    <t>Torquimetro Estalo, Marca Raven, Modelo 2008, De 3kgf/Cm2 A 14kgf/Cm2. (SISPAT: 19309 - FCG: 3908)</t>
  </si>
  <si>
    <t>Balança De Precisao Eletroânica, Com Capacidade Para 6kg, Divisao Minima De 2g, Plataforma Medindo 270 X 235mm, Com Indicador Digital Modelo Id - 900. (SISPAT: 19314 - FCG: 3920)</t>
  </si>
  <si>
    <t>PAJÉ</t>
  </si>
  <si>
    <t>REGISTRO</t>
  </si>
  <si>
    <t>Condicionador De Ar Split Com Capacidade De 18000 Btus, 220v, Ar Quente E Frio, Com ControleRemoto. (SISPAT: 19410001 - FCG: 1941)</t>
  </si>
  <si>
    <t>Motosserra Completa. (SISPAT: 33560001 - FCG: 3356)</t>
  </si>
  <si>
    <t>PROCES. DESCARG.</t>
  </si>
  <si>
    <t>SUB 13715</t>
  </si>
  <si>
    <t>Motoserra Nº 138478590, Marca Sthil Mod. Ts350, Com Kit De Corte Para Metais. (SISPAT: 14888 - FCG: 327)</t>
  </si>
  <si>
    <t>Pulverizador De Fumaça Para Apicultor, Sc Brasil. (SISPAT: 156501 - FCG: 1565</t>
  </si>
  <si>
    <t>CONDENADO</t>
  </si>
  <si>
    <t>Poltrona De Auditório Com Prancheta. (SISPAT: 970003 - FCG: 970)</t>
  </si>
  <si>
    <t>Poltrona De Auditório Com Prancheta. (SISPAT: 970005 - FCG: 970)</t>
  </si>
  <si>
    <t>SALA AULA</t>
  </si>
  <si>
    <t>Poltrona De Auditório Com Prancheta. (SISPAT: 970006 - FCG: 970)</t>
  </si>
  <si>
    <t>HALL</t>
  </si>
  <si>
    <t>Poltrona De Auditório Com Prancheta. (SISPAT: 970007 - FCG: 970)</t>
  </si>
  <si>
    <t>Poltrona De Auditório Com Prancheta. (SISPAT: 970008 - FCG: 970)</t>
  </si>
  <si>
    <t>Poltrona De Auditório Com Prancheta. (SISPAT: 970009 - FCG: 970)</t>
  </si>
  <si>
    <t>PATRIM.</t>
  </si>
  <si>
    <t>Poltrona De Auditório Com Prancheta. (SISPAT: 970010 - FCG: 970)</t>
  </si>
  <si>
    <t>Poltrona De Auditório Com Prancheta. (SISPAT: 970011 - FCG: 970)</t>
  </si>
  <si>
    <t>Poltrona De Auditório Com Prancheta. (SISPAT: 970012 - FCG: 970)</t>
  </si>
  <si>
    <t>GARAGEM</t>
  </si>
  <si>
    <t>Poltrona De Auditório Com Prancheta. (SISPAT: 970013 - FCG: 970)</t>
  </si>
  <si>
    <t>Poltrona De Auditório Com Prancheta. (SISPAT: 970014 - FCG: 970)</t>
  </si>
  <si>
    <t>Poltrona De Auditório Com Prancheta. (SISPAT: 970015 - FCG: 970)</t>
  </si>
  <si>
    <t>Poltrona De Auditório Com Prancheta. (SISPAT: 970016 - FCG: 970)</t>
  </si>
  <si>
    <t>Poltrona De Auditório Com Prancheta. (SISPAT: 970017 - FCG: 970)</t>
  </si>
  <si>
    <t>Poltrona De Auditório Com Prancheta. (SISPAT: 970018 - FCG: 970)</t>
  </si>
  <si>
    <t>COZINHA/REF.</t>
  </si>
  <si>
    <t>Poltrona De Auditório Com Prancheta. (SISPAT: 970019 - FCG: 970)</t>
  </si>
  <si>
    <t>QUART. EQ SVÇ</t>
  </si>
  <si>
    <t>Poltrona De Auditório Com Prancheta. (SISPAT: 970020 - FCG: 970)</t>
  </si>
  <si>
    <t>Poltrona De Auditório Com Prancheta. (SISPAT: 970021 - FCG: 970)</t>
  </si>
  <si>
    <t>Poltrona De Auditório Com Prancheta. (SISPAT: 970022 - FCG: 970)</t>
  </si>
  <si>
    <t>Poltrona De Auditório Com Prancheta. (SISPAT: 970023 - FCG: 970)</t>
  </si>
  <si>
    <t>Poltrona De Auditório Com Prancheta. (SISPAT: 970024 - FCG: 970)</t>
  </si>
  <si>
    <t>Poltrona De Auditório Com Prancheta. (SISPAT: 970025 - FCG: 970)</t>
  </si>
  <si>
    <t>Poltrona De Auditório Com Prancheta. (SISPAT: 970026 - FCG: 970)</t>
  </si>
  <si>
    <t>Poltrona De Auditório Com Prancheta. (SISPAT: 970027 - FCG: 970)</t>
  </si>
  <si>
    <t>Poltrona De Auditório Com Prancheta. (SISPAT: 970028 - FCG: 970)</t>
  </si>
  <si>
    <t>Poltrona De Auditório Com Prancheta. (SISPAT: 970029 - FCG: 970)</t>
  </si>
  <si>
    <t>Poltrona De Auditório Com Prancheta. (SISPAT: 970030 - FCG: 970)</t>
  </si>
  <si>
    <t>Poltrona De Auditório Com Prancheta. (SISPAT: 970031 - FCG: 970)</t>
  </si>
  <si>
    <t>Poltrona De Auditório Com Prancheta. (SISPAT: 970032 - FCG: 970)</t>
  </si>
  <si>
    <t>Poltrona De Auditório Com Prancheta. (SISPAT: 970033 - FCG: 970)</t>
  </si>
  <si>
    <t>Poltrona De Auditório Com Prancheta. (SISPAT: 970034 - FCG: 970)</t>
  </si>
  <si>
    <t>Poltrona De Auditório Com Prancheta. (SISPAT: 970035 - FCG: 970)</t>
  </si>
  <si>
    <t>OREI</t>
  </si>
  <si>
    <t>Dispositivo De Inspeção E Iluminação Interna Com Duas Fontes De Luz E Jogo De Espelhos. (SISPAT: 19301 - FCG: 3860)</t>
  </si>
  <si>
    <t>Secador Para Secagem De 06 Extintores. (SISPAT: 26504 - FCG: 15310)</t>
  </si>
  <si>
    <t>Pressurizador Para Extintor Tipo Pqs Pressurizado, Com Bico Flexível Autovedante. (SISPAT: 26505 - FCG: 15321)</t>
  </si>
  <si>
    <t>Balança Eletrônica Com Capacidade De 150kg Com Divisões De 50 Gramas. (SISPAT: 26519 - FCG: 15378)</t>
  </si>
  <si>
    <t>Gps Global 3,5 . Marca Bak Gps4350. (SISPAT: 36640001 - FCG: 3664)</t>
  </si>
  <si>
    <t>Gps Global 3,5 . Marca Bak Gps4350. (SISPAT: 36640002 - FCG: 3664)</t>
  </si>
  <si>
    <t>SUBP. 8704</t>
  </si>
  <si>
    <t>Gps Global 3,5 . Marca Bak Gps4350. (SISPAT: 36640003 - FCG: 3664)</t>
  </si>
  <si>
    <t>AVARIADO</t>
  </si>
  <si>
    <t>Serra Circular Para Marcenaria Com Motor 03 Cv, 02 Pàlos, 220v/380v, Com Mesa Medindo 0,73 X 0,73, Marca Baldan. (SISPAT: 19447 - FCG: 5070)</t>
  </si>
  <si>
    <t>Poltrona De Auditório Com Prancheta. (SISPAT: 970036 - FCG: 970)</t>
  </si>
  <si>
    <t>Poltrona De Auditório Com Prancheta. (SISPAT: 970037 - FCG: 970)</t>
  </si>
  <si>
    <t>Poltrona De Auditório Com Prancheta. (SISPAT: 970038 - FCG: 970)</t>
  </si>
  <si>
    <t>Bomba Costal Com Tanque De Poliestileno. (SISPAT: 28623 - FCG: 13007)</t>
  </si>
  <si>
    <t>Bomba Costal Com Tanque De Poliestileno. (SISPAT: 28622 - FCG: 13007)</t>
  </si>
  <si>
    <t>Bomba Costal Com Tanque De Poliestileno. (SISPAT: 28624 - FCG: 13007)</t>
  </si>
  <si>
    <t>Talha Com Capacidade Para 1000kg. (SISPAT: 26520 - FCG: 15404)</t>
  </si>
  <si>
    <t>Cilindro De Aço Com Capacidade Para 4m3 De Nitrogênio. (SISPAT: 26509 - FCG: 15326)</t>
  </si>
  <si>
    <t>Cilindro De Aço Com Capacidade Para 4m3 De Nitrogênio. (SISPAT: 26510 - FCG: 15326)</t>
  </si>
  <si>
    <t>Cilindro De Aço Com Capacidade Para 4m3 De Nitrogênio. (SISPAT: 26511 - FCG: 15326)</t>
  </si>
  <si>
    <t>Cilindro De Aço Com Capacidade Para 4m3 De Nitrogênio. (SISPAT: 26512 - FCG: 15326)</t>
  </si>
  <si>
    <t>Cilindro De Aço Com Capacidade Para 5 Litros De N2. (SISPAT: 26881 - FCG: 15755)</t>
  </si>
  <si>
    <t>Cilindro De Aço, Apilcado A Equipamento De Respiração Autônoma Com Capacidade Para 7 Litros De Ar Respirável. (SISPAT: 26907 - FCG: 15847)</t>
  </si>
  <si>
    <t>Cilindro De Aço, Apilcado A Equipamento De Respiração Autônoma Com Capacidade Para 7 Litros De Ar Respirável. (SISPAT: 26908 - FCG: 15847)</t>
  </si>
  <si>
    <t>Cilindro De Aço, Apilcado A Equipamento De Respiração Autônoma Com Capacidade Para 7 Litros De Ar Respirável. (SISPAT: 26909 - FCG: 15847)</t>
  </si>
  <si>
    <t>Multifuncional/Jato Hp J3680 Cb071m 696. (SISPAT: 35460001 - FCG: 3546)</t>
  </si>
  <si>
    <t>Multifuncional/Jato Hp J3680 Cb071m 696. (SISPAT: 35460002 - FCG: 3546)</t>
  </si>
  <si>
    <t>Esmerilhadeira Portátil, Potência 2350w, Rotação De 8500rpm, 220v E Marca Bt-Ag. (SISPAT: 49515 - FCG: 49515)</t>
  </si>
  <si>
    <t>Morsa Nº 06 Marca Forjasul. (SISPAT: 6964 - FCG: 3795)</t>
  </si>
  <si>
    <t>Pistola Para Pintura, Baixa Pressão, Marca Arprex, Modelo 04. (SISPAT: 19734 - FCG: 5148)</t>
  </si>
  <si>
    <t>Regulador De Pressço De Nitrogònio, Com Manometro De Alta De 0 A 300kg/Cm2 E De 0 A 30kg/Cm2. (SISPAT: 19735 - FCG: 5149)</t>
  </si>
  <si>
    <t>EM TRANSF.</t>
  </si>
  <si>
    <t>Roçadeira Para Trator, Mod. At8180 Glp-Erc/Roda. Marca Agritech Lavrale, Com Embreagem De Desgaste Recambiável, Méd. Corte 1,80m, Larg. 2,02m, Alt 1,20m, Comp. 2,25m, Peso 405kg. (SISPAT: 494990001 - FCG: 49499)</t>
  </si>
  <si>
    <t>Motossera Completa, Marca Sthil, Modelo 08-S. (SISPAT: 17003 - FCG: 1134)</t>
  </si>
  <si>
    <t>F 12</t>
  </si>
  <si>
    <t>Motoserra, Potencia 3,6 Kw, Sthil, Mod. 0,38m. (SISPAT: 3353 - FCG: 2406)</t>
  </si>
  <si>
    <t>Motoserra A Gasolina, Motor 2 Tempos, 58 Cc E Marca Nagano. (SISPAT: 495120001 - FCG: 49512)</t>
  </si>
  <si>
    <t>Motoserra A Gasolina, Motor 2 Tempos, 58 Cc E Marca Nagano. (SISPAT: 495120002 - FCG: 49512)</t>
  </si>
  <si>
    <t>Motoserra A Gasolina, Motor 2 Tempos, 58 Cc E Marca Nagano. (SISPAT: 495120003 - FCG: 49512)</t>
  </si>
  <si>
    <t>Armário Sob Medida (1600mm Altura X 500mm Prof X 900mm Larg) Para Vestiário, Com 02 Portas Com Fechaduras Individual Do Tipo Cilíndrica, Um Porta Cabides Sup, Mdf15mm, Na Cor Marfim, Med. 900 X 500 X 1600mm Com Fundo Em Melamína Cor Marfim, Com Uma Abertura Para Ventilado Correspondente A Cada Porta E Uma Prateleira Interna Inferior. (SISPAT: 28518 - FCG: 1345)</t>
  </si>
  <si>
    <t>Forno De Bancada Forjado Nº 8. (SISPAT: 15016 - FCG: 317)</t>
  </si>
  <si>
    <t>Câmera Digital Fuji Modelo Hs20. (SISPAT: 494880004 - FCG: 49488)</t>
  </si>
  <si>
    <t>Bancada De Testes Gerais De Componentes. (SISPAT: 21340001 - FCG: 2134)</t>
  </si>
  <si>
    <t>Protetor De Operador Para Co2. (SISPAT: 21350001 - FCG: 2135)</t>
  </si>
  <si>
    <t>Protetor De Operador Para Co2. (SISPAT: 21350002 - FCG: 2135)</t>
  </si>
  <si>
    <t>GMM HACO 674</t>
  </si>
  <si>
    <t>Cadeira Fixa, Sem Braço, Em Tecido Espuma, Modelo 770t. (SISPAT: 18753 - FCG: 2681)</t>
  </si>
  <si>
    <t>Equipamento De Respiração Autônomo, Modelo Mi Completo. (SISPAT: 15945 - FCG: 773)</t>
  </si>
  <si>
    <t>Equipamento De Respiração Autônomo, Modelo Mi Completo. (SISPAT: 15946 - FCG: 773)</t>
  </si>
  <si>
    <t>Bomba De Transferência De Co2. (SISPAT: 21170001 - FCG: 2117)</t>
  </si>
  <si>
    <t>Processador De Pó Químico. (SISPAT: 21430001 - FCG: 2143)</t>
  </si>
  <si>
    <t>Chave Para Sacar Válvula De Cilindro. (SISPAT: 20950001 - FCG: 2095)</t>
  </si>
  <si>
    <t>Morsa De Coluna Pneumática Regulável. (SISPAT: 21030001 - FCG: 2103)</t>
  </si>
  <si>
    <t>Moto Esmeril Schutz 1/2 Hp. (SISPAT: 5149 - FCG: 3577)</t>
  </si>
  <si>
    <t>Furadeira De Impacto, Industrial 1198.7 - 5/8 Pol. 2 Velocidades Eletronica E Reversivel, Marca Bosch. (SISPAT: 6986 - FCG: 3849)</t>
  </si>
  <si>
    <t>Manequim Adulto De Resgate Articulado. (SISPAT: 33580001 - FCG: 3358)</t>
  </si>
  <si>
    <t>Manequim Adulto Com Painel Eletrônico. (SISPAT: 33590001 - FCG: 3359)</t>
  </si>
  <si>
    <t>Carro Plataforma Com 04 Rodas E Pneus Com Camara. (SISPAT: 19444 - FCG: 5078)</t>
  </si>
  <si>
    <t>Estabilizador De Energia 110v S-110v E - 1kva, Sms. (SISPAT: 29400 - FCG: 14576)</t>
  </si>
  <si>
    <t>Estabilizador De Energia 110v S-110v E - 1kva, Sms. (SISPAT: 29401 - FCG: 14576)</t>
  </si>
  <si>
    <t>Afiador Completo Para Corrente De Moto-Serra. (SISPAT: 15288 - FCG: 495)</t>
  </si>
  <si>
    <t>Moto-Esmeril De 1/2hp. (SISPAT: 19303 - FCG: 3875)</t>
  </si>
  <si>
    <t>Quadro Branco, Medindo 2,00m X 1,25m. (SISPAT: 18812 - FCG: 3050)</t>
  </si>
  <si>
    <t>Bebedouro Marca Ibbl, Com Filtro. (SISPAT: 29950001 - FCG: 2995)</t>
  </si>
  <si>
    <t>Conjunto Esticador Hidraulico, Para Dez Toneladas, Ref. Ppm10b E Cunha Hidraulica (SISPAT: 17004 - FCG: 1141)</t>
  </si>
  <si>
    <t>Derivante Em Y Com Valvula Esferica, Entrada De 2.1/2 Pol. Storz. (SISPAT: 8356 - FCG: 6070)</t>
  </si>
  <si>
    <t>Jogo De Punçao De Numeros (0 A 9), 3mm. (SISPAT: 19305 - FCG: 3886)</t>
  </si>
  <si>
    <t>Jogo De Punçao De Numeros (0 A 9), 3mm. (SISPAT: 19306 - FCG: 3886)</t>
  </si>
  <si>
    <t>Jogo De Pun¿Ço De Numeros (0 A 9), 8mm. (SISPAT: 19307 - FCG: 3896)</t>
  </si>
  <si>
    <t>Morsa De Bancada Especial Para Extintores De Baixa Pressao. (SISPAT: 19310 - FCG: 3913)</t>
  </si>
  <si>
    <t>Morsa De Bancada Especial Para Extintores De Baixa Pressao. (SISPAT: 19311 - FCG: 3913)</t>
  </si>
  <si>
    <t>Trena Com Vinte Metros De Comprimento. (SISPAT: 19317 - FCG: 3930)</t>
  </si>
  <si>
    <t>Jogo De Punçao De Numeros (0 A 9), 9mm. (SISPAT: 19318 - FCG: 3937)</t>
  </si>
  <si>
    <t>Jogo De Punçao De Letras (A A Z), 3mm. (SISPAT: 19319 - FCG: 3938)</t>
  </si>
  <si>
    <t>Jogo De Pun¿Ço De Letras (A A Z), 8mm. (SISPAT: 19320 - FCG: 3948)</t>
  </si>
  <si>
    <t>Equipamento Para Teste Hidrostático De Alta Pressão Completo. (SISPAT: 26518 - FCG: 15377)</t>
  </si>
  <si>
    <t>Máquina (Bomba De Transferência De Co2) (SISPAT: 26521 - FCG: 15412)</t>
  </si>
  <si>
    <t>Morsa De Coluna Vertical Regulável Para Fixação De Cilindros De Alta Pressão. (SISPAT: 26522 - FCG: 15429)</t>
  </si>
  <si>
    <t>Morsa De Coluna Vertical Regulável Para Fixação De Cilindros De Alta Pressão. (SISPAT: 26523 - FCG: 15429)</t>
  </si>
  <si>
    <t>Cd Player Automotivo, Marca Pioneer. (SISPAT: 212601 - FCG: 2126)</t>
  </si>
  <si>
    <t>Tela De Projeção Retrátil Com Fixação Na Parede Ou No Teto Com Enrolamento Automático De 180x180cm. (SISPAT: 894001 - FCG: 894)</t>
  </si>
  <si>
    <t>Bebedouro Refrigerado, 220v, Marca Plenna, Com Garrafao, Capacidade 20 Litros, Cor Branca, Medindo 0,40 X 0,30m. (SISPAT: 19922 - FCG: 5191)</t>
  </si>
  <si>
    <t>Compressor De Ar Respirável. Mod. Open Mch 16. (SISPAT: 268801 - FCG: 2688)</t>
  </si>
  <si>
    <t>Compressor Marca Schulz, 6vl/60, 1/2 Hp, 120 Lb, Baixa Pressao. (SISPAT: 24583 - FCG: 13145)</t>
  </si>
  <si>
    <t>Bancada Com 2 Portas De Correr, Com 3,00 X 0,58m X 0,90m. (SISPAT: 8827 - FCG: 6796)</t>
  </si>
  <si>
    <t>Exaustor De Fibra De Vidro, Motor Marca Eberle, Modelo Exa-400, Numeros De Serie: 101 E 301, 0,5cv, Marca Agrofibras 220/380v, TrifμSico. (SISPAT: 19445 - FCG: 5068)</t>
  </si>
  <si>
    <t>Exaustor De Fibra De Vidro, Motor Marca Eberle, Modelo Exa-400, Numeros De Serie: 101 E 301, 0,5cv, Marca Agrofibras 220/380v, TrifμSico. (SISPAT: 19446 - FCG: 5068)</t>
  </si>
  <si>
    <t>Bancada De Madeira, Medindo 3,90 X 1,07 X 0,60. (SISPAT: 9174 - FCG: 9837)</t>
  </si>
  <si>
    <t>Tanque Em Chapa De Polipropileno, Medindo: 1,83 X 0,72 X 0,74m. (SISPAT: 19294 - FCG: 3844)</t>
  </si>
  <si>
    <t>Tanque Em Chapa De Polipropileno, Medindo: 1,83 X 0,72 X 0,74m. (SISPAT: 19295 - FCG: 3844)</t>
  </si>
  <si>
    <t>Tanque Em Chapa De Polipropileno, Medindo: 1,83 X 0,72 X 0,74m. (SISPAT: 19296 - FCG: 3844)</t>
  </si>
  <si>
    <t>Tanque Em Chapa De Polipropileno, Medindo: 1,83 X 0,72 X 0,74m. (SISPAT: 19297 - FCG: 3844)</t>
  </si>
  <si>
    <t>Tanque Em Chapa De Polipropileno, Medindo: 1,83 X 0,72 X 0,74m. (SISPAT: 19298 - FCG: 3844)</t>
  </si>
  <si>
    <t>Cilindro De Aço, Contendo 04 Metros Cubicos De N2. (SISPAT: 19727 - FCG: 5141)</t>
  </si>
  <si>
    <t>ALOJ. FEM.</t>
  </si>
  <si>
    <t>Cama Beliche Para Praças. (SISPAT: 16271 - FCG: 1389)</t>
  </si>
  <si>
    <t>ALOJ. SGT</t>
  </si>
  <si>
    <t>Cama Beliche Para Praças. (SISPAT: 16273 - FCG: 1389)</t>
  </si>
  <si>
    <t>Queimador Para Incêndio Tipo Bota Fogo. (SISPAT: 26918 - FCG: 15867)</t>
  </si>
  <si>
    <t>Queimador Para Incêndio Tipo Bota Fogo. (SISPAT: 26919 - FCG: 15867)</t>
  </si>
  <si>
    <t>Compressor Motor De 3hp,425 Litros/Min, Pressão De 140 Libras, Reservatório De 180 Litros, E Marca Pressure. (SISPAT: 495111001 - FCG: 49511)</t>
  </si>
  <si>
    <t>Condicionador De Ar, Tipo Split Hi-Wall, 10.000btus, 220v, Ciclo Reverso, Marca Springer. (SISPAT: 19448 - FCG: 4899)</t>
  </si>
  <si>
    <t>Kit Para Imobilização E Resgate. (SISPAT: 24294 - FCG: 12090)</t>
  </si>
  <si>
    <t>Cabine Para Pintura Completa, Contendo 02 Carrinhos Para Transporte De Extintores. (SISPAT: 26506 - FCG: 15322)</t>
  </si>
  <si>
    <t>Compressor De Gás Carbônico Líquido, Com Conexões, Com Cavalete E Motor Elétrico Monofásico, 110/220v. (SISPAT: 19732 - FCG: 5146)</t>
  </si>
  <si>
    <t>Compressor Marca Schulz, Alta Pressão, Modelo Mswv 60 Fort/425, Com Motor Trifásico 220, Kv 11,3 (SISPAT: 26503 - FCG: 15308)</t>
  </si>
  <si>
    <t>Luz De Emergência, Tipo Fixa À Parede, Qtd De Lâmpadas 2 Un, Tipo Lâmpada Fluorecente, Potência Lâmpada 8/10 W, Bivolt. Marca Avant. (SISPAT: 35260001 - FCG: 3526)</t>
  </si>
  <si>
    <t>Luz De Emergência, Tipo Fixa À Parede, Qtd De Lâmpadas 2 Un, Tipo Lâmpada Fluorecente, Potência Lâmpada 8/10 W, Bivolt. Marca Avant. (SISPAT: 35260002 - FCG: 3526)</t>
  </si>
  <si>
    <t>Luz De Emergência, Tipo Fixa À Parede, Qtd De Lâmpadas 2 Un, Tipo Lâmpada Fluorecente, Potência Lâmpada 8/10 W, Bivolt. Marca Avant. (SISPAT: 35260003 - FCG: 3526)</t>
  </si>
  <si>
    <t>Luz De Emergência, Tipo Fixa À Parede, Qtd De Lâmpadas 2 Un, Tipo Lâmpada Fluorecente, Potência Lâmpada 8/10 W, Bivolt. Marca Avant. (SISPAT: 35260004 - FCG: 3526)</t>
  </si>
  <si>
    <t>Luz De Emergência, Tipo Fixa À Parede, Qtd De Lâmpadas 2 Un, Tipo Lâmpada Fluorecente, Potência Lâmpada 8/10 W, Bivolt. Marca Avant. (SISPAT: 35260005 - FCG: 3526)</t>
  </si>
  <si>
    <t>Luz De Emergência, Tipo Fixa À Parede, Qtd De Lâmpadas 2 Un, Tipo Lâmpada Fluorecente, Potência Lâmpada 8/10 W, Bivolt. Marca Avant. (SISPAT: 35260006 - FCG: 3526)</t>
  </si>
  <si>
    <t>Luz De Emergência, Tipo Fixa À Parede, Qtd De Lâmpadas 2 Un, Tipo Lâmpada Fluorecente, Potência Lâmpada 8/10 W, Bivolt. Marca Avant. (SISPAT: 35260007 - FCG: 3526)</t>
  </si>
  <si>
    <t>Luz De Emergência, Tipo Fixa À Parede, Qtd De Lâmpadas 2 Un, Tipo Lâmpada Fluorecente, Potência Lâmpada 8/10 W, Bivolt. Marca Avant. (SISPAT: 35260008 - FCG: 3526)</t>
  </si>
  <si>
    <t>Luz De Emergência, Tipo Fixa À Parede, Qtd De Lâmpadas 2 Un, Tipo Lâmpada Fluorecente, Potência Lâmpada 8/10 W, Bivolt. Marca Avant. (SISPAT: 35260009 - FCG: 3526)</t>
  </si>
  <si>
    <t>OF 741</t>
  </si>
  <si>
    <t>Tv Lcd 42 . Marca Cce Stile D42. (SISPAT: 36630001 - FCG: 3663)</t>
  </si>
  <si>
    <t>Tv Lcd 42 . Marca Cce Stile D42. (SISPAT: 36630002 - FCG: 3663)</t>
  </si>
  <si>
    <t>GALPÃO</t>
  </si>
  <si>
    <t>Condicionador De Ar, 7500 Btus, 220v, Ciclo Reverso, Marca Springer. (SISPAT: 19917 - FCG: 5186)</t>
  </si>
  <si>
    <t>Transformador De Voltagem ( Adaptadorde Força 13,5 Volts, 127/220v) (SISPAT: 158551 - FCG: 15855)</t>
  </si>
  <si>
    <t>Transformador De Voltagem ( Adaptadorde Força 13,5 Volts, 127/220v) (SISPAT: 158552 - FCG: 15855)</t>
  </si>
  <si>
    <t>Cadeira De Aproximação Fixa Com Braços Fixos. (SISPAT: 961001 - FCG: 961)</t>
  </si>
  <si>
    <t>Cadeira De Aproximação Fixa Com Braços Fixos. (SISPAT: 961002 - FCG: 961)</t>
  </si>
  <si>
    <t>Cadeira De Aproximação Fixa Com Braços Fixos. (SISPAT: 961003 - FCG: 961)</t>
  </si>
  <si>
    <t>Cadeira De Aproximação Fixa Com Braços Fixos. (SISPAT: 961004 - FCG: 961)</t>
  </si>
  <si>
    <t>ITEM DESCARACTZ</t>
  </si>
  <si>
    <t>Cadeira De Aproximação Fixa Com Braços Fixos. (SISPAT: 961005 - FCG: 961)</t>
  </si>
  <si>
    <t>Cadeira De Aproximação Fixa Com Braços Fixos. (SISPAT: 961006 - FCG: 961)</t>
  </si>
  <si>
    <t>Cadeira De Aproximação Fixa Com Braços Fixos. (SISPAT: 961007 - FCG: 961)</t>
  </si>
  <si>
    <t>Luz De Emergência, Tipo Fixa À Parede, Qtd De Lâmpadas 2 Un, Tipo Lâmpada Fluorecente, Potência Lâmpada 8/10 W, Bivolt. Marca Avant. (SISPAT: 35260010 - FCG: 3526)</t>
  </si>
  <si>
    <t>Pistola Para Pintura De Alta Pressço Marca Devilbiss. (SISPAT: 15619 - FCG: 689)</t>
  </si>
  <si>
    <t>Trator Mod. Tl-65 Com 02 Varredoras Coletora Cmv Vc 2200, Ano De Fabricação 1999. Nº De S•Rie: 6s223 E 002.142, 6s224 E 002.141. Nº Do Chassi: 275448, 275452. Nº Do Motor Fiat: 8035.05 214-556979 , 8035.05 214-557255 . (SISPAT: 17567 - FCG: 1797)</t>
  </si>
  <si>
    <t>Cadeira Operacional Giratória Com Braços Reguláveis. (SISPAT: 962002 - FCG: 962)</t>
  </si>
  <si>
    <t>SECRETARIA</t>
  </si>
  <si>
    <t>Cadeira Operacional Giratória Com Braços Reguláveis. (SISPAT: 962003 - FCG: 962)</t>
  </si>
  <si>
    <t>Cadeira Operacional Giratória Com Braços Reguláveis. (SISPAT: 962004 - FCG: 962)</t>
  </si>
  <si>
    <t>Cadeira Operacional Giratória Com Braços Reguláveis. (SISPAT: 962005 - FCG: 962)</t>
  </si>
  <si>
    <t>Cadeira Operacional Giratória Com Braços Reguláveis. (SISPAT: 962006 - FCG: 962)</t>
  </si>
  <si>
    <t>Cadeira Operacional Giratória Com Braços Reguláveis. (SISPAT: 962007 - FCG: 962)</t>
  </si>
  <si>
    <t>Gaveteiro Volante Com 02 Gavetas E 01 Gavetão Para Pasta Suspensa 0,47 X 0,45 X 0,66m. (SISPAT: 964001 - FCG: 964)</t>
  </si>
  <si>
    <t>CHEFE EQUIP.</t>
  </si>
  <si>
    <t>Gaveteiro Volante Com 02 Gavetas E 01 Gavetão Para Pasta Suspensa 0,47 X 0,45 X 0,66m. (SISPAT: 964002 - FCG: 964)</t>
  </si>
  <si>
    <t>Gaveteiro Volante Com 02 Gavetas E 01 Gavetão Para Pasta Suspensa 0,47 X 0,45 X 0,66m. (SISPAT: 964003 - FCG: 964)</t>
  </si>
  <si>
    <t>Gaveteiro Volante Com 02 Gavetas E 01 Gavetão Para Pasta Suspensa 0,47 X 0,45 X 0,66m. (SISPAT: 964004 - FCG: 964)</t>
  </si>
  <si>
    <t>Gaveteiro Volante Com 02 Gavetas E 01 Gavetão Para Pasta Suspensa 0,47 X 0,45 X 0,66m. (SISPAT: 964005 - FCG: 964)</t>
  </si>
  <si>
    <t>Gaveteiro Volante Com 02 Gavetas E 01 Gavetão Para Pasta Suspensa 0,47 X 0,45 X 0,66m. (SISPAT: 964006 - FCG: 964)</t>
  </si>
  <si>
    <t>Gaveteiro Volante Com 04 Gavetas 0,47 X 0,45 X 0,66cm. (SISPAT: 967001 - FCG: 967)</t>
  </si>
  <si>
    <t>Gaveteiro Volante Com 04 Gavetas 0,47 X 0,45 X 0,66cm. (SISPAT: 967002 - FCG: 967)</t>
  </si>
  <si>
    <t>Gaveteiro Volante Com 04 Gavetas 0,47 X 0,45 X 0,66cm. (SISPAT: 967003 - FCG: 967)</t>
  </si>
  <si>
    <t>Gaveteiro Volante Com 04 Gavetas 0,47 X 0,45 X 0,66cm. (SISPAT: 967004 - FCG: 967)</t>
  </si>
  <si>
    <t>Gaveteiro Volante Com 04 Gavetas 0,47 X 0,45 X 0,66cm. (SISPAT: 967005 - FCG: 967)</t>
  </si>
  <si>
    <t>Poltrona De Auditório Com Prancheta. (SISPAT: 97004 - FCG: 970)</t>
  </si>
  <si>
    <t>Poltrona De Auditório Com Prancheta. (SISPAT: 970001 - FCG: 970)</t>
  </si>
  <si>
    <t>Poltrona De Auditório Com Prancheta. (SISPAT: 970002 - FCG: 970)</t>
  </si>
  <si>
    <t>Cadeira De Aproximação Fixa Com Braços Fixos. (SISPAT: 961008 - FCG: 961)</t>
  </si>
  <si>
    <t>TORRE</t>
  </si>
  <si>
    <t>Cadeira Operacional Giratória Com Braços Reguláveis. (SISPAT: 962001 - FCG: 962)</t>
  </si>
  <si>
    <t>Calibrador Passa Não Passa Rosca Nrt 3/4 (SISPAT: 26514 - FCG: 15352)</t>
  </si>
  <si>
    <t>Calibrador Passa Não Passa Rosca Nrt 1 (SISPAT: 26515 - FCG: 15360)</t>
  </si>
  <si>
    <t>Gerador De Ar Quente. (SISPAT: 26516 - FCG: 15370)</t>
  </si>
  <si>
    <t>Balança Eletrônica Com Capacidade De 100kg E Divisões De 20 Gramas. (SISPAT: 26517 - FCG: 15374)</t>
  </si>
  <si>
    <t>Calibrador Passa Não Passa Rosca Nrt 3/8 . (SISPAT: 26513 - FCG: 15530)</t>
  </si>
  <si>
    <t>Bomba De Transferência De Co2 Completa. (SISPAT: 26880 - FCG: 15753)</t>
  </si>
  <si>
    <t>Televisor 20 Polegadas, Com Controle Remoto, 110/220v, Marca Semp, Modelo 2083/84. (SISPAT: 19921 - FCG: 5190)</t>
  </si>
  <si>
    <t>Armário De Aço Com Duas Portas De Abrir Com Chaves, 03 Prateleiras Internas, Na Cor Cinza, Medindo 1980 X 900 X 450mm, Com Chapa 22. (SISPAT: 19900 - FCG: 5177)</t>
  </si>
  <si>
    <t>Armario De Aço Com Duas Portas De Abrir Com Chaves, 03 Prateleiras Internas, Na Cor Cinza, Medindo 1700 X 750 X 320mm, Com Chapa 24. (SISPAT: 19901 - FCG: 5178)</t>
  </si>
  <si>
    <t>Armario De Aço Com Duas Portas De Abrir Com Chaves, 03 Prateleiras Internas, Na Cor Cinza, Medindo 1700 X 750 X 320mm, Com Chapa 24. (SISPAT: 19902 - FCG: 5178)</t>
  </si>
  <si>
    <t>Arquivo De Aço Com Quatro Gavetas Para Pastas Suspensas Com Chaves, Carrinho Telescopio, Na Cor Cinza, Medindo 1335 X 460 X 710mm, Com Chapa 22. (SISPAT: 23053 - FCG: 5179)</t>
  </si>
  <si>
    <t>Estante De A¿O Com 36 Gavetas, Na Cor Cinza, Medindo 1980 X 450 X 900mm, Com Chapa 20. (SISPAT: 19904 - FCG: 5180)</t>
  </si>
  <si>
    <t>Estante De Aço Com 07 Prateleiras, Cor Cinza, Medindo 1980 X 450 X 900mm, Com Chapa 20. (SISPAT: 19905 - FCG: 5183)</t>
  </si>
  <si>
    <t>Estante De Aço Com 07 Prateleiras, Cor Cinza, Medindo 1980 X 450 X 900mm, Com Chapa 20. (SISPAT: 19906 - FCG: 5183)</t>
  </si>
  <si>
    <t>Estante De Aço, Medindo 1980 X 450 X 900mm, Prateleiras Com Chapa 20 E Colunas Com Chapa 14, Com Reforço Lateral E Reforço De Fundo Na Cor Cinza. (SISPAT: 19907 - FCG: 5184)</t>
  </si>
  <si>
    <t>Estante De Aço, Medindo 1980 X 450 X 900mm, Prateleiras Com Chapa 20 E Colunas Com Chapa 14, Com Reforço Lateral E Reforço De Fundo Na Cor Cinza. (SISPAT: 19908 - FCG: 5184)</t>
  </si>
  <si>
    <t>Estante De Aço, Medindo 1980 X 450 X 900mm, Prateleiras Com Chapa 20 E Colunas Com Chapa 14, Com Reforço Lateral E Reforço De Fundo Na Cor Cinza. (SISPAT: 19909 - FCG: 5184)</t>
  </si>
  <si>
    <t>Estante De Aço, Medindo 1980 X 450 X 900mm, Prateleiras Com Chapa 20 E Colunas Com Chapa 14, Com 02260902057 (SISPAT: 19910 - FCG: 5184)</t>
  </si>
  <si>
    <t>Estante De Aço, Medindo 1980 X 450 X 900mm, Prateleiras Com Chapa 20 E Colunas Com Chapa 14, Com Reforço Lateral E Reforço De Fundo Na Cor Cinza. (SISPAT: 19911 - FCG: 5184)</t>
  </si>
  <si>
    <t>Estante De Aço, Medindo 1980 X 450 X 900mm, Prateleiras Com Chapa 20 E Colunas Com Chapa 14, Com Reforço Lateral E Reforço De Fundo Na Cor Cinza. (SISPAT: 19912 - FCG: 5184)</t>
  </si>
  <si>
    <t>Estante De Aço, Medindo 1980 X 450 X 900mm, Prateleiras Com Chapa 20 E Colunas Com Chapa 14, Com Reforço Lateral E Reforço De Fundo Na Cor Cinza. (SISPAT: 19913 - FCG: 5184)</t>
  </si>
  <si>
    <t>Estante De Aço, Medindo 1980 X 450 X 900mm, Prateleiras Com Chapa 20 E Colunas Com Chapa 14, Com Reforço Lateral E Reforço De Fundo Na Cor Cinza. (SISPAT: 19914 - FCG: 5184)</t>
  </si>
  <si>
    <t>ALOJ. CB/SD</t>
  </si>
  <si>
    <t>Armário De Aço Medindo Aproximadamente 1,98 X 0,60 X 0,42 Com 02 Portas De Abrir, Com Dispositivo Para Cadeado, Na Cor Cinza. (SISPAT: 15573 - FCG: 663)</t>
  </si>
  <si>
    <t>Cadeira Giratória, Tipo Secretária, Tecido Preto, Sem Braços, Marca Primomondo. (SISPAT: 19148 - FCG: 3604)</t>
  </si>
  <si>
    <t>Cadeira Giratória, Tipo Secretária, Tecido Preto, Sem Braços, Marca Primomondo. (SISPAT: 19149 - FCG: 3604)</t>
  </si>
  <si>
    <t>Cadeira Fixa Secretaria, Pes Em S, Sem Braços, Espuma Injetada Revetida Em Couro Sintetico Preto, Marc Layout Center (SISPAT: 29437 - FCG: 14716)</t>
  </si>
  <si>
    <t>Mesa Para Chefe, Modelo Dasp M-1, Medindo 1,70 X 0,85 X 0,78m. (SISPAT: 12689 - FCG: 17101)</t>
  </si>
  <si>
    <t>Mesa Com Estrtura De Ferro Com Areta De Perfil Preta, Emmelaminico Pp, Para Microcomputador, Com Textura Em Cerejeira De 120 L X 60(P) X 74 Cm De Lautra Com Suporte Para Cpu No Lado Esquerdo, Modelo Mm 120 (SISPAT: 24512 - FCG: 13893)</t>
  </si>
  <si>
    <t>Armário Baixo Com 01 Prateleira E Porta De Abrir 0,89 X 0,47 X 0,76m. (SISPAT: 942002 - FCG: 942)</t>
  </si>
  <si>
    <t>Armário Baixo Com 01 Prateleira E Porta De Abrir 0,89 X 0,47 X 0,76m. (SISPAT: 942003 - FCG: 942)</t>
  </si>
  <si>
    <t>Armário Baixo Com 01 Prateleira E Porta De Abrir 0,89 X 0,47 X 0,76m. (SISPAT: 942004 - FCG: 942)</t>
  </si>
  <si>
    <t>Armário Baixo Com 01 Prateleira E Porta De Abrir 0,89 X 0,47 X 0,76m. (SISPAT: 942005 - FCG: 942)</t>
  </si>
  <si>
    <t>Armário Baixo Com 01 Prateleira E Porta De Abrir 0,89 X 0,47 X 0,76m. (SISPAT: 1942001 - FCG: 942)</t>
  </si>
  <si>
    <t>Persiana Vertical Em Tecido Na Cor Cinza, Nas Medidas De 1,30m X 1,20m. (SISPAT: 24660 - FCG: 13464)</t>
  </si>
  <si>
    <t>Persiana Vertical Em Tecido Na Cor Cinza, Nas Medidas De 1,40m X 1,20m. (SISPAT: 24645 - FCG: 13468)</t>
  </si>
  <si>
    <t>Persiana Vertical Em Tecido Na Cor Cinza, Nas Medidas De 1,40m X 1,20m. (SISPAT: 24646 - FCG: 13468)</t>
  </si>
  <si>
    <t>Persiana Vertical Em Tecido Na Cor Cinza, Nas Medidas De 1,30m X 1,20m. (SISPAT: 24647 - FCG: 13543</t>
  </si>
  <si>
    <t>Armário De Aço, Guarda Roupa, De Uma Porta, Marca Fiel. (SISPAT: 234101 - FCG: 2341)</t>
  </si>
  <si>
    <t>Mesa Com Três Gavetas Com Chaves, Tampo Com 28 Mm De Espessura, Acabamento Em Post Forming, Cor Cinza, Medindo 1500 X 670 X 740mm. (SISPAT: 19875 - FCG: 5165)</t>
  </si>
  <si>
    <t>Mesa Com Três Gavetas Com Chaves, Tampo Com 28 Mm De Espessura, Acabamento Em Post Forming, Cor Cinza, Medindo 1500 X 670 X 740mm. (SISPAT: 19876 - FCG: 5165)</t>
  </si>
  <si>
    <t>Conexões 90 Graus Com 28mm De Espessura, Acabamento Em Post Forming, Cor Cinza. (SISPAT: 19881 - FCG: 5168)</t>
  </si>
  <si>
    <t>Conexões 90 Graus Com 28mm De Espessura, Acabamento Em Post Forming, Cor Cinza. (SISPAT: 19882 - FCG: 5168)</t>
  </si>
  <si>
    <t>Mesa Com Suporte Para Teclado (Retrátil), Tampo Com 28mm De Espessura, Acabamento Em Post Forming, Cor Cinza, Medindo 900 X 670 X 740mm. (SISPAT: 19883 - FCG: 5169)</t>
  </si>
  <si>
    <t>Mesa Com Suporte Para Teclado (Retrátil), Tampo Com 28mm De Espessura, Acabamento Em Post Forming, Cor Cinza, Medindo 900 X 670 X 740mm. (SISPAT: 19884 - FCG: 5169)</t>
  </si>
  <si>
    <t>Quadro Negro Com Moldura De Madeira Envernizada, Medindo 1200 X 1500mm. (SISPAT: 19885 - FCG: 5170)</t>
  </si>
  <si>
    <t>Claviculário Para 24 Chaves Com Moldura De Alumínio, Com Duas Portas De Correr De Vidro, Fundo Em Fórmica Branca, Medindo 0,60 X 0,36m. (SISPAT: 19887 - FCG: 5171)</t>
  </si>
  <si>
    <t>Cadeira Giratoria Espaldar Anatomico Na Cor Preta, Minimode 5 Cm De Espuma Injetada, Sem Braçoscom Base Giratoria Mecanica Na Cor Preta, De 5 Pontos De Rodizios Duplos Comproteção Em Plastico Pvc Nas Hastes, Revestimento Do Assento Em Curvim Preto De 44 L X 64 P X 90 Cm De Altura Total Modelo 7551 (SISPAT: 24520 - FCG: 13930)</t>
  </si>
  <si>
    <t>Claviculário Para 32 Chaves Com Moldura De Alumínio, Com Duas Portas De Correr De Vidro, Fundo Em Fórmica Branca, Medindo 0,60 X 0,49m (SISPAT: 19888 - FCG: 5172)</t>
  </si>
  <si>
    <t>Cadeira Para Digitador Sem Braços, Assento E Encosto Em Madeira Compensada Moldada Anatomincamente, Almofadas Em Espuma Injetada Revestida Em Tecido Cinza Preto, Estrutura De Aço Com Cinco Pés, Rodízios Duplos, Mola Amortecedora Com Regulagem De Altura No Assento E Duas Regulagens No Encosto (Horizontal E Vertical). (SISPAT: 19889 - FCG: 5173)</t>
  </si>
  <si>
    <t>Cadeira Para Digitador Sem Braços, Assento E Encosto Em Madeira Compensada Moldada Anatomincamente, Almofadas Em Espuma Injetada Revestida Em Tecido Cinza Preto, Estrutura De Aço Com Cinco Pés, Rodízios Duplos, Mola Amortecedora Com Regulagem De Altura No Assento E Duas Regulagens No Encosto (Horizontal E Vertical). (SISPAT: 19890 - FCG: 5173)</t>
  </si>
  <si>
    <t>Cadeira Para Digitador Sem Braços, Assento E Encosto Em Madeira Compensada Moldada Anatomincamente, Almofadas Em Espuma Injetada Revestida Em Tecido Cinza Preto, Estrutura De Aço Com Cinco Pés, Rodízios Duplos, Mola Amortecedora Com Regulagem De Altura No Assento E Duas Regulagens No Encosto (Horizontal E Vertical). (SISPAT: 19891 - FCG: 5173)</t>
  </si>
  <si>
    <t>Cadeira Para Digitador Sem Braços, Assento E Encosto Em Madeira Compensada Moldada Anatomincamente, Almofadas Em Espuma Injetada Revestida Em Tecido Cinza Preto, Estrutura De Aço Com Cinco Pés, Rodízios Duplos, Mola Amortecedora Com Regulagem De Altura No Assento E Duas Regulagens No Encosto (Horizontal E Vertical). (SISPAT: 19892 - FCG: 5173)</t>
  </si>
  <si>
    <t>Poltrona Giratória Com Braços, Espaldar Alto, Assento E Encosto Em Madeira Compensada Moldada
Anatomicamente, Almofadas Em Espuma Injetada Revestidas Em Tecido Cinza Preto, Estrutura De Aço
Com Cinco Pes, Rodízios Duplos, Mola Amortecedora, Regulagem De Altura E Sistema De Fixação Do
Relax. (SISPAT: 19895 - FCG: 5174)</t>
  </si>
  <si>
    <t>Longarina Para Sala De Espera Sem Braços, Formada Com Três Assentos E Uma Mesa De Centro,
Assento E Encosto Em Madeira Compensada Moldada Anatomicamente, Almofadas Em Espuma
Injetada Revestidas Em Tecido Cinza Preto, Estrutura De Aço Com Tubos Paralelos De 3 X 5. (SISPAT:
19896 - FCG: 5175)</t>
  </si>
  <si>
    <t>Longarina Para Sala De Espera Sem Braços, Formada Por Tres Assentos, Assento E Encosto Em Madeira
Compensada Moldada Anatomicamente, Almofadas Em Espuma Injetada Revestidas Em Tecido Cinza
Preto, Estrutura De Aço Com Tubos Paralelos De 3 X 5. (SISPAT: 19897 - FCG: 5176)</t>
  </si>
  <si>
    <t>Longarina Para Sala De Espera Sem Braços, Formada Por Tres Assentos, Assento E Encosto Em Madeira
Compensada Moldada Anatomicamente, Almofadas Em Espuma Injetada Revestidas Em Tecido Cinza
Preto, Estrutura De Aço Com Tubos Paralelos De 3 X 5. (SISPAT: 19898 - FCG: 5176)</t>
  </si>
  <si>
    <t>Longarina Para Sala De Espera Sem Braços, Formada Por Tres Assentos, Assento E Encosto Em Madeira
Compensada Moldada Anatomicamente, Almofadas Em Espuma Injetada Revestidas Em Tecido Cinza
Preto, Estrutura De Aço Com Tubos Paralelos De 3 X 5. (SISPAT: 19899 - FCG: 5176)</t>
  </si>
  <si>
    <t>Balcão Em Cerejeira Medindo 0,90 X 0,70 0,42 M, Duas Portas Com Chaves E Prateleiras Internas. (SISPAT: 23805 - FCG: 10073)</t>
  </si>
  <si>
    <t>Mesa Com Tres Gavetas Com Chaves, Tampo Com 28mm De Espessura, Acabamento Em Post
Forming, Cor Cinza, Medindo 1200 X 670 X 740mm. (SISPAT: 19915 - FCG: 5185)</t>
  </si>
  <si>
    <t>Mesa Com Tres Gavetas Com Chaves, Tampo Com 28mm De Espessura, Acabamento Em Post
Forming, Cor Cinza, Medindo 1200 X 670 X 740mm. (SISPAT: 19916 - FCG: 5185)</t>
  </si>
  <si>
    <t>Armário De Aço Mod. Aagr-2 . (SISPAT: 1118814 - FCG: 11188)</t>
  </si>
  <si>
    <t>Armário De Aço Mod. Aagr-2 . (SISPAT: 1118816 - FCG: 11188)</t>
  </si>
  <si>
    <t>Armário De Aço, Esp 01/1 - Spe-D, Agr-2, Marca Scheffer. (SISPAT: 17168 - FCG: 1907)</t>
  </si>
  <si>
    <t>Armário De Aço, Esp 01/1 - Spe-D, Agr-2, Marca Scheffer. (SISPAT: 17179 - FCG: 1907)</t>
  </si>
  <si>
    <t>Estofado 02 Lugares 05ea. (SISPAT: 26630001 - FCG: 2663)</t>
  </si>
  <si>
    <t>Estofamento 03 Lugares 05ea. (SISPAT: 26660001 - FCG: 2666)</t>
  </si>
  <si>
    <t>Mesa Sem Gavetas Dimensões 0,50 M X 0,40 M X , Cor Cerejeira Com Molduras Em Preto Com Rodinhas Modelo 1203, Central Gs. (SISPAT: 29389 - FCG: 14414)</t>
  </si>
  <si>
    <t>Estação De Trabalho Operacional Tipo 02. 1600 X 1600 Mm 05ea. (SISPAT: 26730005 - FCG: 2673)</t>
  </si>
  <si>
    <t>Estação De Trabalho Operacional Tipo 03. 1400 X 1400 Mm 05ea. (SISPAT: 26750001 - FCG: 2675)</t>
  </si>
  <si>
    <t>Estação De Trabalho Operacional Tipo 03. 1400 X 1400 Mm 05ea. (SISPAT: 26750002 - FCG: 2675)</t>
  </si>
  <si>
    <t>Estação De Trabalho Operacional Tipo 03. 1400 X 1400 Mm 05ea. (SISPAT: 26750003 - FCG: 2675)</t>
  </si>
  <si>
    <t>Estação De Trabalho Operacional Tipo 03. 1400 X 1400 Mm 05ea. (SISPAT: 26750004 - FCG: 2675)</t>
  </si>
  <si>
    <t>Estação De Trabalho Operacional Tipo 03. 1400 X 1400 Mm 05ea. (SISPAT: 26750005 - FCG: 2675)</t>
  </si>
  <si>
    <t>Estação De Trabalho Peninsular Para Chefia 1400 X 1860 05ea. (SISPAT: 26760001 - FCG: 2676)</t>
  </si>
  <si>
    <t>Estação De Trabalho Peninsular Para Chefia 1400 X 1860 05ea. (SISPAT: 26760002 - FCG: 2676)</t>
  </si>
  <si>
    <t>Estação De Trabalho Peninsular Para Chefia 1400 X 1860 05ea. (SISPAT: 26760003 - FCG: 2676)</t>
  </si>
  <si>
    <t>Estação De Trabalho Operacional Tipo 01. 1600 X 1400mm 05ea. (SISPAT: 26720005 - FCG: 2672)</t>
  </si>
  <si>
    <t>Estação De Trabalho Operacional Tipo 02. 1600 X 1400 Mm 05ea. (SISPAT: 26730001 - FCG: 2673)</t>
  </si>
  <si>
    <t>Mosaico Não Controlado. (SISPAT: 10609 - FCG: 12619)</t>
  </si>
  <si>
    <t>Claviculário De Aço, Capacidade 100 Chaves, Com Chaveiros Numerados, Medindo (40 Cm X 60 Cm)Na Cor Cinza. (SISPAT: 1625004 - FCG: 16250)</t>
  </si>
  <si>
    <t>Armário De Aço Com Duas Portas, Prateleiras Reguláveis, Medidas 1,98m X 1,20m X 0,45m, Modelo Ar4. (SISPAT: 18758 - FCG: 2701)</t>
  </si>
  <si>
    <t>Cadeira De Ferro Tipo Americana, Ref 97, Construida Em Tubos De Aço E Assento De Chapa Esmaltada. (SISPAT: 10792 - FCG: 13015)</t>
  </si>
  <si>
    <t>Cadeira Ita Luxo, Courvin Florentino, Marron. (SISPAT: 10843 - FCG: 13067)</t>
  </si>
  <si>
    <t>Bancada Metálica Para Máquina De Recarregar Extintores, Com 0,87 X 0,465 X 0,845m. (SISPAT: 19730 - FCG: 5144)</t>
  </si>
  <si>
    <t>Suporte De Parede Para Televisço De 14 A 21 Polegadas E Video, Marca Brasforma, Cor Preta. (SISPAT: 19923 - FCG: 5192)</t>
  </si>
  <si>
    <t>Estante De Aço Marca 3s, Medindo 1,98 X 0,30 X 098 M (SISPAT: 1521501 - FCG: 15215)</t>
  </si>
  <si>
    <t>Estante De Aço Marca 3s, Medindo 1,98 X 0,30 X 098 M (SISPAT: 1521502 - FCG: 15215)</t>
  </si>
  <si>
    <t>Mesa Para Equipamento Com Estrutura Metálica Tubular De Aço Com Pintura Em Alta Temperatura, Sobre Base Antiferruginosa Tampo Em Aço Revestido Em Laminado Melamínico, Med. 900mm X 660mm X 670mm. (SISPAT: 7442 - FCG: 4169)</t>
  </si>
  <si>
    <t>Mesa Para Equipamento Com Estrutura Metálica Tubular De Aço Com Pintura Em Alta Temperatura, Sobre Base Antiferruginosa Tampo Em Aço Revestido Em Laminado Melamínico, Med. 900mm X 660mm X 670mm. (SISPAT: 7443 - FCG: 4169)</t>
  </si>
  <si>
    <t>Mesa Para Equipamento Com Estrutura Metálica Tubular De Aço Com Pintura Em Alta Temperatura, Sobre Base Antiferruginosa Tampo Em Aço Revestido Em Laminado Melamínico, Med. 900mm X 660mm X 670mm. (SISPAT: 7444 - FCG: 4169)</t>
  </si>
  <si>
    <t>Mesa De Plotagem Com Estrutura Metálica Tubular De Aço, Com Pintura Em Alta Temperatura Sobre Base Antiferruginosa, Tampo Em Aço Revestido Em Laminado Melamínico, Medindo 200mm X 1200mm X 750mm, Mesa Com Protetor Da Borda Em Perfil De Alumínio, Estrutura Pintada. (SISPAT: 7445 – FCG:4170)</t>
  </si>
  <si>
    <t>Mesa De Plotagem Com Estrutura Metálica Tubular De Aço, Com Pintura Em Alta Temperatura Sobre Base Antiferruginosa, Tampo Em Aço Revestido Em Laminado Melamínico, Medindo 200mm X 1200mm X 750mm, Mesa Com Protetor Da Borda Em Perfil De Alumínio, Estrutura Pintada. (SISPAT: 7446 – FCG:4170)</t>
  </si>
  <si>
    <t>Quadro Branco Magnetico Medindo 0,60 X 0,90 Cm (SISPAT: 26900 - FCG: 15836)</t>
  </si>
  <si>
    <t>Armário Com Duas Portas Com Chaves, Tampo Com 28mm De Espessura, Acabamento Em Post Forming, Cor Cinza Prateleiras Internas, Medindo 930 X 420 X 1620mm. (SISPAT: 19877 - FCG: 5166)</t>
  </si>
  <si>
    <t>Armário Com Duas Portas Com Chaves, Tampo Com 28mm De Espessura, Acabamento Em Post Forming, Cor Cinza Prateleiras Internas, Medindo 930 X 420 X 1620mm. (SISPAT: 19878 - FCG: 5166)</t>
  </si>
  <si>
    <t>Suporte Para Cpu E Estabilizador, Acabamento Na Cor Cinza, Medindo 0,45 X 0,41 X 0,24m. (SISPAT: 19879 - FCG: 5167)</t>
  </si>
  <si>
    <t>Suporte Para Cpu E Estabilizador, Acabamento Na Cor Cinza, Medindo 0,45 X 0,41 X 0,24m. (SISPAT: 19880 - FCG: 5167)</t>
  </si>
  <si>
    <t>Refrigerador Modelo R280, 260 Litros, Cor Bege, 220v, Marca Eletrolux. (SISPAT: 19920 - FCG: 5189)</t>
  </si>
  <si>
    <t>Ar Condicionado Split, Capacidade De Refrigeração 12.000 Btus, 220 V, Marca Spinger Carrier. (SISPAT: 495360004 - FCG: 49536)</t>
  </si>
  <si>
    <t>Ar Condicionado Split, Capacidade De Refrigeração 12.000 Btus, 220 V, Marca Spinger Carrier. (SISPAT: 495360005 - FCG: 49536)</t>
  </si>
  <si>
    <t>Botijão Para Gás (Vazio) De 13 Kg. (SISPAT: 1353 - FCG: 936)</t>
  </si>
  <si>
    <t>Refrigerador Duplex, 450 L, Frost Free E Marca Consul. (SISPAT: 495130001 - FCG: 49513)</t>
  </si>
  <si>
    <t>Botijão Para Gás, Com Capacidade Para 13kg. (SISPAT: 11637 - FCG: 15079)</t>
  </si>
  <si>
    <t>Botijão Para Gás, Com Capacidade Para 13kg. (SISPAT: 11638 - FCG: 15079)</t>
  </si>
  <si>
    <t>Aparelho De Ar Condicionado De 18000 Btus, Elgin Silent Line. (SISPAT: 285 - FCG: 62)</t>
  </si>
  <si>
    <t>Ventilador 110/220v Portátil Grade Entre 35 A 55cm. Marca Ventisol. (SISPAT: 19630003 - FCG: 1963)</t>
  </si>
  <si>
    <t>Ventilador 110/220v Portátil Grade Entre 35 A 55cm. Marca Ventisol. (SISPAT: 19630004 - FCG: 1963)</t>
  </si>
  <si>
    <t>Ducha 220v, 5400w, Lorenzetti. (SISPAT: 174005 - FCG: 1740)</t>
  </si>
  <si>
    <t>Ducha 220v, 5400w, Lorenzetti. (SISPAT: 174006 - FCG: 1740)</t>
  </si>
  <si>
    <t>Cafeteira Elétrica, 110v, E Marca Cadence. (SISPAT: 495140001 - FCG: 49514)</t>
  </si>
  <si>
    <t>Monóculo De Visão Noturno, A Prova D Água Com Alça De Suporte E Estrutura Emborrachada. Marca Bushenell. (SISPAT: 37210001 - FCG: 3721)</t>
  </si>
  <si>
    <t>Monóculo De Visão Noturno, A Prova D Água Com Alça De Suporte E Estrutura Emborrachada. Marca Bushenell. (SISPAT: 37210003 - FCG: 3721)</t>
  </si>
  <si>
    <t>Halteres Revestidos 4,0 Kg. (SISPAT: 24682 - FCG: 14399)</t>
  </si>
  <si>
    <t>Halteres Revestidos 4,0 Kg. (SISPAT: 24683 - FCG: 14399)</t>
  </si>
  <si>
    <t>Halteres Revestidos 5,0 Kg. (SISPAT: 24684 - FCG: 14402)</t>
  </si>
  <si>
    <t>Halteres Revestidos 5,0 Kg. (SISPAT: 24685 - FCG: 14402)</t>
  </si>
  <si>
    <t>Ducha 220v, 5400w, Lorenzetti. (SISPAT: 174022 - FCG: 1740)</t>
  </si>
  <si>
    <t>Ducha 220v, 5400w, Lorenzetti. (SISPAT: 174023 - FCG: 1740)</t>
  </si>
  <si>
    <t>Ducha 220v, 5400w, Lorenzetti. (SISPAT: 174024 - FCG: 1740)</t>
  </si>
  <si>
    <t>Ducha 220v, 5400w, Lorenzetti. (SISPAT: 174025 - FCG: 1740)</t>
  </si>
  <si>
    <t>Fogão 04 Bocas, 110v, Na Cor Caramelo Marca Continental. (SISPAT: 15017 - FCG: 316)</t>
  </si>
  <si>
    <t>Lavadora De Alta Pressão, Potência 1,1 Kw, Vazão 300 L/H, Bivolt, Marca Karcher. (SISPAT: 35340001 - FCG: 3534)</t>
  </si>
  <si>
    <t>Ferro De Passar Roupas A Vapor 110v (Walita) (SISPAT: 17740 - FCG: 2003)</t>
  </si>
  <si>
    <t>Chuveiro Eletrico 5400 Watts 220 V (SISPAT: 282838 - FCG: 2828)</t>
  </si>
  <si>
    <t>Refrigerador 275l, Na Cor Branca, 110 Volts, Marca Consul. (SISPAT: 24318 - FCG: 12238)</t>
  </si>
  <si>
    <t>Fogão Com 4 Queimadores, Acendimento Manual, Na Cor Branca, Marca Consul. (SISPAT: 24319</t>
  </si>
  <si>
    <t>Frigobar 120l, Rt12a, Marca Consul. (SISPAT: 16060 - FCG: 853)</t>
  </si>
  <si>
    <t>Ar Condicionado Split 24.000 Btus, Quente/Frio. Marca Rheem. (SISPAT: 495300001 - FCG: 49530)</t>
  </si>
  <si>
    <t>Ar Condicionado Split 24.000 Btus, Quente/Frio. Marca Rheem. (SISPAT: 495300002 - FCG: 49530)</t>
  </si>
  <si>
    <t>Ar Condicionado Split, Capacidade De Refrigeração 12.000 Btus, 220 V, Marca Spinger Carrier. (SISPAT: 495360001 - FCG: 49536)</t>
  </si>
  <si>
    <t>Ar Condicionado Split, Capacidade De Refrigeração 12.000 Btus, 220 V, Marca Spinger Carrier. (SISPAT: 495360002 - FCG: 49536)</t>
  </si>
  <si>
    <t>Ar Condicionado Split, Capacidade De Refrigeração 12.000 Btus, 220 V, Marca Spinger Carrier. (SISPAT: 495360003 - FCG: 49536)</t>
  </si>
  <si>
    <t>Armario De Aco Com 2 Portas Tipo 2 - PN: FAB-D-097-U - Nº SÉRIE: 316-017090</t>
  </si>
  <si>
    <t>Armario De Aco Com 2 Portas Tipo 2 - PN: FAB-D-097-U - Nº SÉRIE: 316-017091</t>
  </si>
  <si>
    <t>Armario De Aco Com 2 Portas Tipo 2 - PN: FAB-D-097-U - Nº SÉRIE: 316-017092</t>
  </si>
  <si>
    <t>Armario De Aco Com 2 Portas Tipo 2 - PN: FAB-D-097-U - Nº SÉRIE: 316-017093</t>
  </si>
  <si>
    <t>Armario De Aco Com 2 Portas Tipo 2 - PN: FAB-D-097-U - Nº SÉRIE: 316-017094</t>
  </si>
  <si>
    <t>Armario De Aco Com 2 Portas Tipo 2 - PN: FAB-D-097-U - Nº SÉRIE: 316-017095</t>
  </si>
  <si>
    <t>Armario De Aco Com 2 Portas Tipo 2 - PN: FAB-D-097-U - Nº SÉRIE: 316-017096</t>
  </si>
  <si>
    <t>Armario De Aco Com 2 Portas Tipo 2 - PN: FAB-D-097-U - Nº SÉRIE: 316-017097</t>
  </si>
  <si>
    <t>Armario De Aco Com 2 Portas Tipo 2 - PN: FAB-D-097-U - Nº SÉRIE: 316-017098</t>
  </si>
  <si>
    <t>Armario De Aco Com 2 Portas Tipo 2 - PN: FAB-D-097-U - Nº SÉRIE: 316-017099</t>
  </si>
  <si>
    <t>Armario De Aco Com 2 Portas Tipo 2 - PN: FAB-D-097-U - Nº SÉRIE: 316-017100</t>
  </si>
  <si>
    <t>Armario De Aco Com 2 Portas Tipo 2 - PN: FAB-D-097-U - Nº SÉRIE: 316-017101</t>
  </si>
  <si>
    <t>Armario De Aco Com 2 Portas Tipo 2 - PN: FAB-D-097-U - Nº SÉRIE: 316-017102</t>
  </si>
  <si>
    <t>Armario De Aco Com 2 Portas Tipo 2 - PN: FAB-D-097-U - Nº SÉRIE: 316-017103</t>
  </si>
  <si>
    <t>Armario De Aco Com 2 Portas Tipo 2 - PN: FAB-D-097-U - Nº SÉRIE: 316-017104</t>
  </si>
  <si>
    <t>Armario De Aco Com 2 Portas Tipo 2 - PN: FAB-D-097-U - Nº SÉRIE: 316-017105</t>
  </si>
  <si>
    <t>Armario De Aco Com 2 Portas Tipo 2 - PN: FAB-D-097-U - Nº SÉRIE: 316-017106</t>
  </si>
  <si>
    <t>Armario De Aco Com 2 Portas Tipo 2 - PN: FAB-D-097-U - Nº SÉRIE: 316-017107</t>
  </si>
  <si>
    <t>Armario De Aco Com 2 Portas Tipo 2 - PN: FAB-D-097-U - Nº SÉRIE: 316-017108</t>
  </si>
  <si>
    <t>Armario De Aco Com 2 Portas Tipo 2 - PN: FAB-D-097-U - Nº SÉRIE: 316-017109</t>
  </si>
  <si>
    <t>Armario De Aco Com 2 Portas Tipo 2 - PN: FAB-D-097-U - Nº SÉRIE: 316-017110</t>
  </si>
  <si>
    <t>Armario De Aco Com 2 Portas Tipo 2 - PN: FAB-D-097-U - Nº SÉRIE: 316-017111</t>
  </si>
  <si>
    <t>Armario De Aco Com 2 Portas Tipo 2 - PN: FAB-D-097-U - Nº SÉRIE: 316-017112</t>
  </si>
  <si>
    <t>Armario De Aco Com 2 Portas Tipo 2 - PN: FAB-D-097-U - Nº SÉRIE: 316-017113</t>
  </si>
  <si>
    <t>Armario De Aco Com 2 Portas Tipo 2 - PN: FAB-D-097-U - Nº SÉRIE: 316-017114</t>
  </si>
  <si>
    <t>Armario De Aco Com 2 Portas Tipo 2 - PN: FAB-D-097-U - Nº SÉRIE: 316-017115</t>
  </si>
  <si>
    <t>Armario De Aco Com 2 Portas Tipo 2 - PN: FAB-D-097-U - Nº SÉRIE: 316-017116</t>
  </si>
  <si>
    <t>Armario De Aco Com 2 Portas Tipo 2 - PN: FAB-D-097-U - Nº SÉRIE: 316-017117</t>
  </si>
  <si>
    <t>Armario De Aco Com 2 Portas Tipo 2 - PN: FAB-D-097-U - Nº SÉRIE: 316-017118</t>
  </si>
  <si>
    <t>Armario De Aco Com 2 Portas Tipo 2 - PN: FAB-D-097-U - Nº SÉRIE: 316-017119</t>
  </si>
  <si>
    <t>Armario De Aco Com 2 Portas Tipo 2 - PN: FAB-D-097-U - Nº SÉRIE: 316-017120</t>
  </si>
  <si>
    <t>Armario De Aco Com 2 Portas Tipo 2 - PN: FAB-D-097-U - Nº SÉRIE: 316-017121</t>
  </si>
  <si>
    <t>Armario De Aco Com 2 Portas Tipo 2 - PN: FAB-D-097-U - Nº SÉRIE: 316-017122</t>
  </si>
  <si>
    <t>Armario De Aco Com 2 Portas Tipo 2 - PN: FAB-D-097-U - Nº SÉRIE: 316-017123</t>
  </si>
  <si>
    <t>Armario De Aco Com 2 Portas Tipo 2 - PN: FAB-D-097-U - Nº SÉRIE: 316-017124</t>
  </si>
  <si>
    <t>Armario De Aco Com 2 Portas Tipo 2 - PN: FAB-D-097-U - Nº SÉRIE: 316-017125</t>
  </si>
  <si>
    <t>Armário Paara Equipamento De Salvamento E Arrombamento. (SISPAT: 2868001 - FCG: 2868)</t>
  </si>
  <si>
    <t>Equipamento De Respiração Autônomo Completo. (SISPAT: 2870001 - FCG: 2870)</t>
  </si>
  <si>
    <t>Equipamento De Respiração Autônomo Completo. (SISPAT: 2870002 - FCG: 2870)</t>
  </si>
  <si>
    <t>Esmeril Assíncrono, Monofásico, Tipo Mb, 1/2cv. (SISPAT: 4110001 - FCG: 4110)</t>
  </si>
  <si>
    <t>Banco Com 03 Lugares, Estrutura Metálica, Revestido Em Courvim Preto. (SISPAT: 6835002 - FCG: 6835)</t>
  </si>
  <si>
    <t>Cofre Em Aço, Marca Tres S , Mod. Mr. Office, 600kg. (SISPAT: 1881001 - FCG: 1881)</t>
  </si>
  <si>
    <t>Caldeirão A Gás, Com Geração De Vapor, Marca Wallig, Cap. 300l. (SISPAT: 6306001 - FCG: 6306)</t>
  </si>
  <si>
    <t>Caldeirão A Gás, Marca Geral, Com Geração De Vapor, Cap. 300l. (SISPAT: 6813002 - FCG: 6813)</t>
  </si>
  <si>
    <t>Armário De Aço, Sem Portas, Mod. Az-40, Med. 1,98 X 1,00 X 0,40m. (SISPAT: 179001 - FCG: 179)</t>
  </si>
  <si>
    <t>Core 2 Duo (3ghz), 4gb, 160gb</t>
  </si>
  <si>
    <t>Estabilizador Ragtech 1kva 4 Tomadas</t>
  </si>
  <si>
    <t>Monitor Aoc Lcd 19" F19l</t>
  </si>
  <si>
    <t>Core 2 Duo (3ghz), 4gb, Hd 160 Gb</t>
  </si>
  <si>
    <t>Aparelho Telefônico Sem Fio, Com Função Flash, Memory, Redial. Marca Intelbras.</t>
  </si>
  <si>
    <t>Aparelho Dvd Blu Ray Hd Player 3d Foto Cd, Progressive Scan Lg Bd 550. Marca Lg.</t>
  </si>
  <si>
    <t>Cadeira Tipo Digitador, Braços Com Regulagem E Base Giratória. Marca Mobilan.</t>
  </si>
  <si>
    <t>Telefone Intelbras Pleno.</t>
  </si>
  <si>
    <t>Ressucitador, Borracha Siliconada, Tipo Manual, Tamanho Adulto. Marca Protec.</t>
  </si>
  <si>
    <t>Quadro Negro Com Moldura De Madeira Envernizada, Medindo 1200 X 1500mm.</t>
  </si>
  <si>
    <t>Sofá Em Madeira Com Três Lugares Assentos E Encosto Com Almofadas Na Cor Azul.</t>
  </si>
  <si>
    <t>Computador Desktop Com Configuração Mínima: Processador Intel Core I5 2400, 4gb Ram, 500gb Hd, Windows 7, Monitor De 18,5. Marca Hp.</t>
  </si>
  <si>
    <t>Telefone Analógico Intelbras Pleno. - Nº SÉRIE: TL0812110030</t>
  </si>
  <si>
    <t>Telefone Analógico Intelbras Pleno. - Nº SÉRIE: TF0812110069</t>
  </si>
  <si>
    <t>Telefone Analógico Intelbras Pleno. - Nº SÉRIE: TL0812120028</t>
  </si>
  <si>
    <t>Telefone Analógico Intelbras Pleno. - Nº SÉRIE: TF0812110093</t>
  </si>
  <si>
    <t>Telefone Analógico Intelbras Pleno. - Nº SÉRIE: TD0812101580</t>
  </si>
  <si>
    <t>Telefone Analógico Intelbras Pleno. - Nº SÉRIE: TD0812050247</t>
  </si>
  <si>
    <t>Estabilizador 1000 Va Side Laser. Marca Regtech.</t>
  </si>
  <si>
    <t>Furadeira Elétrica Com Impacto 1/2", 220v, 800w. Marca Bosch.</t>
  </si>
  <si>
    <t>Projetor Multimídia. Marca Benq.</t>
  </si>
  <si>
    <t>Telefone Analógico Intelbras Pleno. - Nº SÉRIE: TD0812050326</t>
  </si>
  <si>
    <t>Colchão Solteiro, Bonel Black E White, Medindo 188x78x25cm. Marca Materassi.</t>
  </si>
  <si>
    <t>Estabilizador 100va Side Laser Ragtech.</t>
  </si>
  <si>
    <t>Antena De Tv Digital. Marca Philips.</t>
  </si>
  <si>
    <t>Ar Condicionado Split Capacidade 30000 Btus. Marca Elgin.</t>
  </si>
  <si>
    <t>Suporte De Projetor. Marca Elg.</t>
  </si>
  <si>
    <t>Tv Led 40" Smart Tv Full Hd. Marca Sansung.</t>
  </si>
  <si>
    <t>Tv Led 47" Smart Tv Full Hd. Marca Lg.</t>
  </si>
  <si>
    <t>Ar Condicionado Split Capacidade 12000 Btus. Marca Elgin.</t>
  </si>
  <si>
    <t>Armario De Aco Com 2 Portas Tipo 2 - PN: FAB-D-097-U - Nº SÉRIE: 316-035237</t>
  </si>
  <si>
    <t>Armario De Aco Com 2 Portas Tipo 2 - PN: FAB-D-097-U - Nº SÉRIE: 316-035238</t>
  </si>
  <si>
    <t>Armario De Aco Com 2 Portas Tipo 2 - PN: FAB-D-097-U - Nº SÉRIE: 316-035239</t>
  </si>
  <si>
    <t>Armario De Aco Com 2 Portas Tipo 2 - PN: FAB-D-097-U - Nº SÉRIE: 316-035240</t>
  </si>
  <si>
    <t>Armario De Aco Com 2 Portas Tipo 2 - PN: FAB-D-097-U - Nº SÉRIE: 316-035241</t>
  </si>
  <si>
    <t>Armario De Aco Com 2 Portas Tipo 2 - PN: FAB-D-097-U - Nº SÉRIE: 316-035242</t>
  </si>
  <si>
    <t>Armario De Aco Com 2 Portas Tipo 2 - PN: FAB-D-097-U - Nº SÉRIE: 316-035243</t>
  </si>
  <si>
    <t>Armario De Aco Com 2 Portas Tipo 2 - PN: FAB-D-097-U - Nº SÉRIE: 316-035244</t>
  </si>
  <si>
    <t>Armario De Aco Com 2 Portas Tipo 2 - PN: FAB-D-097-U - Nº SÉRIE: 316-035245</t>
  </si>
  <si>
    <t>Armario De Aco Com 2 Portas Tipo 2 - PN: FAB-D-097-U - Nº SÉRIE: 316-035246</t>
  </si>
  <si>
    <t>Armario De Aco Com 2 Portas Tipo 2 - PN: FAB-D-097-U - Nº SÉRIE: 316-035247</t>
  </si>
  <si>
    <t>Armario De Aco Com 2 Portas Tipo 2 - PN: FAB-D-097-U - Nº SÉRIE: 316-035248</t>
  </si>
  <si>
    <t>Armario De Aco Com 2 Portas Tipo 2 - PN: FAB-D-097-U - Nº SÉRIE: 316-035249</t>
  </si>
  <si>
    <t>Armario De Aco Com 2 Portas Tipo 2 - PN: FAB-D-097-U - Nº SÉRIE: 316-035250</t>
  </si>
  <si>
    <t>Armario De Aco Com 2 Portas Tipo 2 - PN: FAB-D-097-U - Nº SÉRIE: 316-035251</t>
  </si>
  <si>
    <t>Armario De Aco Com 2 Portas Tipo 2 - PN: FAB-D-097-U - Nº SÉRIE: 316-035252</t>
  </si>
  <si>
    <t>Mesa De Refeitorio</t>
  </si>
  <si>
    <t>Poltrona Rebativel Para Auditorio</t>
  </si>
  <si>
    <t>Poltrona Giratoria Interlocutor Presidência</t>
  </si>
  <si>
    <t>Estabilizador Ragtech 1000va - Nº SÉRIE: 537312518599</t>
  </si>
  <si>
    <t>Microcomputador Desktop - Processador: Intel Core2duoe 6600 - Capacidade De Hd: 160 Gb - Capacidade De Memória: 2 Gb - Descrição Complementar: Frequência De Clock Interno De 2,4 Ghz, Com Memória Cache L2 De 4mb. Capacidade De Expansão De Mem. De Até 4gb. Sistema Windows Xp Professional Em Português. Teclado Padrão Abnt 2, Com Todos Os Caracteres Da Língua Portuguesa, Inclusive Ç; Estendido, Padrão At, Conector Usb, Padrão 2.0. Mouse De 2 Botões, Ambidestro, Com Tecnologia Optica, Sem Esfera; Com Botão Específico Para Rolagem; Resolução Mínima De 400dpi;Conector Padrão Usb 2.0; Acompanhado De Mouse Pad, Acompanha Cabo De Força Y, Tripolar Com Dois Pinos Conectores Femea Eca 16a Com Gravadores De Cd E Dvd - Marca: Lenovo - Modelo: Thinkcentre M55p - Serie: L1af4rx</t>
  </si>
  <si>
    <t>Microcomputador Desktop Brb603080p</t>
  </si>
  <si>
    <t>Torso Simples Para Rcp Infantil</t>
  </si>
  <si>
    <t>Torso Simples Rcp Adulto</t>
  </si>
  <si>
    <t>Practi Aed Trainer Portuguese Br</t>
  </si>
  <si>
    <t>Boneco Para Treinamento De Resgate Corpo Completo</t>
  </si>
  <si>
    <t>Oximetro Portátil Para Dedo</t>
  </si>
  <si>
    <t>F 09</t>
  </si>
  <si>
    <t>Colete De Resgate Tipo Ked</t>
  </si>
  <si>
    <t>F 10</t>
  </si>
  <si>
    <t>Prancha Longa Em Polietileno Com Jogo De Cinto</t>
  </si>
  <si>
    <t>F 11</t>
  </si>
  <si>
    <t>Manequim De Rcp Corpor Inteiro Adulto Com Monitor</t>
  </si>
  <si>
    <t>COFRE</t>
  </si>
  <si>
    <t>Ñ ENCONTRADO</t>
  </si>
  <si>
    <t>Monitor Led 18,5" Philips</t>
  </si>
  <si>
    <t>CHEFIA</t>
  </si>
  <si>
    <t>No Break Ups Poweer 700 Mono 115 Vt Ts Shara</t>
  </si>
  <si>
    <t>Fod Boss</t>
  </si>
  <si>
    <t>Ducha Eletrõnica 7500w - 220v</t>
  </si>
  <si>
    <t>Alarme Sonoro Contra Incendio Sirene Eletrica Rotativa Com Alcance Sonoro De 1500m. PotenciaMinima De Operação :220v - 60hz</t>
  </si>
  <si>
    <t>Bomba D`Água Centrífuga 4.0cv Me-Al 1740 N Schneider</t>
  </si>
  <si>
    <t>Canhão Monitor De Água Fixo De 4" Para Combate A Incêndio Marca Proincêndio</t>
  </si>
  <si>
    <t>Cadeira Presidente</t>
  </si>
  <si>
    <t>GMM REC. 326</t>
  </si>
  <si>
    <t>Equipamento De Proteção Respirátoria(Epr) Com Redutor De Pressão, Manometro, Serviço(Apito), Valvula De Demanda, Mascara E Cilindro</t>
  </si>
  <si>
    <t>Wrench,Torque - PN: 44508/400 - No SÉRIE: 89309-10-00293</t>
  </si>
  <si>
    <t>TOTAL BMP</t>
  </si>
  <si>
    <t>HISTÓRICO BMP</t>
  </si>
  <si>
    <t>PERMANENTE</t>
  </si>
  <si>
    <t>EXTINTORES</t>
  </si>
  <si>
    <t>SAÍDA</t>
  </si>
  <si>
    <t>AGUARDAN. CARGA</t>
  </si>
  <si>
    <t>EMPRESTADO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</si>
</sst>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Red]#,##0"/>
  </numFmts>
  <fonts count="70">
    <font>
      <sz val="11.0"/>
      <color rgb="FF000000"/>
      <name val="Liberation sans1"/>
      <scheme val="minor"/>
    </font>
    <font>
      <sz val="14.0"/>
      <color rgb="FF000000"/>
      <name val="Arial"/>
    </font>
    <font>
      <b/>
      <sz val="12.0"/>
      <color theme="1"/>
      <name val="Calibri"/>
    </font>
    <font>
      <b/>
      <sz val="12.0"/>
      <color rgb="FF8D281E"/>
      <name val="Calibri"/>
    </font>
    <font>
      <b/>
      <sz val="12.0"/>
      <color rgb="FFFFFFFF"/>
      <name val="Calibri"/>
    </font>
    <font>
      <b/>
      <sz val="14.0"/>
      <color theme="5"/>
      <name val="Calibri"/>
    </font>
    <font>
      <b/>
      <sz val="13.0"/>
      <color rgb="FF0369A3"/>
      <name val="Calibri"/>
    </font>
    <font>
      <b/>
      <sz val="13.0"/>
      <color rgb="FF00FFFF"/>
      <name val="Calibri"/>
    </font>
    <font>
      <b/>
      <sz val="13.0"/>
      <color theme="5"/>
      <name val="Calibri"/>
    </font>
    <font>
      <b/>
      <i/>
      <sz val="13.0"/>
      <color rgb="FFFFFF00"/>
      <name val="Calibri"/>
    </font>
    <font>
      <sz val="14.0"/>
      <color rgb="FFFFFF00"/>
      <name val="Arial"/>
    </font>
    <font>
      <sz val="14.0"/>
      <color theme="1"/>
      <name val="Arial"/>
    </font>
    <font>
      <sz val="12.0"/>
      <color theme="1"/>
      <name val="Arial"/>
    </font>
    <font>
      <b/>
      <sz val="13.0"/>
      <color rgb="FFFFFFFF"/>
      <name val="Calibri"/>
    </font>
    <font/>
    <font>
      <b/>
      <sz val="14.0"/>
      <color rgb="FF00FFFF"/>
      <name val="Calibri"/>
    </font>
    <font>
      <b/>
      <sz val="13.0"/>
      <color rgb="FFFFFF00"/>
      <name val="Calibri"/>
    </font>
    <font>
      <sz val="12.0"/>
      <color rgb="FF00FFFF"/>
      <name val="Arial"/>
    </font>
    <font>
      <sz val="14.0"/>
      <color rgb="FF00FFFF"/>
      <name val="Arial"/>
    </font>
    <font>
      <sz val="13.0"/>
      <color rgb="FF00FFFF"/>
      <name val="Arial"/>
    </font>
    <font>
      <sz val="13.0"/>
      <color theme="1"/>
      <name val="Arial"/>
    </font>
    <font>
      <sz val="12.0"/>
      <color rgb="FF00FFFF"/>
      <name val="Liberation sans1"/>
    </font>
    <font>
      <sz val="12.0"/>
      <color rgb="FF000000"/>
      <name val="Calibri"/>
    </font>
    <font>
      <sz val="10.0"/>
      <color theme="1"/>
      <name val="Calibri"/>
    </font>
    <font>
      <sz val="12.0"/>
      <color rgb="FF8D281E"/>
      <name val="Calibri"/>
    </font>
    <font>
      <sz val="10.0"/>
      <color rgb="FFEEEEEE"/>
      <name val="Calibri"/>
    </font>
    <font>
      <sz val="12.0"/>
      <color rgb="FF953735"/>
      <name val="Calibri"/>
    </font>
    <font>
      <i/>
      <sz val="10.0"/>
      <color theme="5"/>
      <name val="Calibri"/>
    </font>
    <font>
      <sz val="12.0"/>
      <color rgb="FFFFFFFF"/>
      <name val="Calibri"/>
    </font>
    <font>
      <sz val="12.0"/>
      <color rgb="FF00FFFF"/>
      <name val="Calibri"/>
    </font>
    <font>
      <sz val="12.0"/>
      <color rgb="FFEEEEEE"/>
      <name val="Calibri"/>
    </font>
    <font>
      <i/>
      <sz val="10.0"/>
      <color rgb="FFFFFF00"/>
      <name val="Calibri"/>
    </font>
    <font>
      <sz val="12.0"/>
      <color rgb="FFFFFF00"/>
      <name val="Calibri"/>
    </font>
    <font>
      <color theme="1"/>
      <name val="Liberation sans1"/>
      <scheme val="minor"/>
    </font>
    <font>
      <sz val="10.0"/>
      <color rgb="FFCC4125"/>
      <name val="Arial"/>
    </font>
    <font>
      <sz val="12.0"/>
      <color rgb="FFCC4125"/>
      <name val="Liberation sans1"/>
    </font>
    <font>
      <sz val="10.0"/>
      <color rgb="FFFFFFFF"/>
      <name val="Arial"/>
    </font>
    <font>
      <sz val="12.0"/>
      <color rgb="FFFFFFFF"/>
      <name val="Arial"/>
    </font>
    <font>
      <sz val="12.0"/>
      <color theme="1"/>
      <name val="Liberation sans1"/>
    </font>
    <font>
      <sz val="12.0"/>
      <color theme="1"/>
      <name val="Liberation sans1"/>
      <scheme val="minor"/>
    </font>
    <font>
      <sz val="12.0"/>
      <color rgb="FFFFFF00"/>
      <name val="Arial"/>
    </font>
    <font>
      <sz val="12.0"/>
      <color rgb="FFFFFF00"/>
      <name val="Liberation sans1"/>
      <scheme val="minor"/>
    </font>
    <font>
      <sz val="12.0"/>
      <color rgb="FFFFFF00"/>
      <name val="Liberation sans1"/>
    </font>
    <font>
      <sz val="11.0"/>
      <color theme="1"/>
      <name val="Liberation sans1"/>
    </font>
    <font>
      <color theme="5"/>
      <name val="Liberation sans1"/>
      <scheme val="minor"/>
    </font>
    <font>
      <color rgb="FF00FFFF"/>
      <name val="Liberation sans1"/>
      <scheme val="minor"/>
    </font>
    <font>
      <color rgb="FFFFFF00"/>
      <name val="Liberation sans1"/>
      <scheme val="minor"/>
    </font>
    <font>
      <color rgb="FF8D281E"/>
      <name val="Liberation sans1"/>
      <scheme val="minor"/>
    </font>
    <font>
      <sz val="9.0"/>
      <color theme="1"/>
      <name val="Liberation sans1"/>
      <scheme val="minor"/>
    </font>
    <font>
      <sz val="12.0"/>
      <color rgb="FF000000"/>
      <name val="Liberation sans1"/>
    </font>
    <font>
      <sz val="14.0"/>
      <color rgb="FFFFFFFF"/>
      <name val="Calibri"/>
    </font>
    <font>
      <sz val="14.0"/>
      <color rgb="FF000000"/>
      <name val="Liberation sans1"/>
    </font>
    <font>
      <b/>
      <sz val="14.0"/>
      <color rgb="FFFFFFFF"/>
      <name val="Calibri"/>
    </font>
    <font>
      <sz val="11.0"/>
      <color rgb="FF000000"/>
      <name val="Liberation sans1"/>
    </font>
    <font>
      <b/>
      <i/>
      <sz val="13.0"/>
      <color rgb="FFFFFFFF"/>
      <name val="Calibri"/>
    </font>
    <font>
      <i/>
      <sz val="9.0"/>
      <color rgb="FFFFFFFF"/>
      <name val="Calibri"/>
    </font>
    <font>
      <i/>
      <sz val="10.0"/>
      <color rgb="FFFFFFFF"/>
      <name val="Calibri"/>
    </font>
    <font>
      <sz val="14.0"/>
      <color rgb="FFFFFF00"/>
      <name val="Calibri"/>
    </font>
    <font>
      <i/>
      <sz val="11.0"/>
      <color rgb="FFFFFFFF"/>
      <name val="Calibri"/>
    </font>
    <font>
      <sz val="12.0"/>
      <color rgb="FFFF0000"/>
      <name val="Calibri"/>
    </font>
    <font>
      <sz val="12.0"/>
      <color rgb="FF00B0F0"/>
      <name val="Calibri"/>
    </font>
    <font>
      <sz val="12.0"/>
      <color rgb="FF2ED0F1"/>
      <name val="Calibri"/>
    </font>
    <font>
      <sz val="12.0"/>
      <color rgb="FF3D85C6"/>
      <name val="Calibri"/>
    </font>
    <font>
      <sz val="12.0"/>
      <color rgb="FF4A86E8"/>
      <name val="Calibri"/>
    </font>
    <font>
      <sz val="12.0"/>
      <color rgb="FFE46C0A"/>
      <name val="Calibri"/>
    </font>
    <font>
      <sz val="12.0"/>
      <color rgb="FFFF9900"/>
      <name val="Calibri"/>
    </font>
    <font>
      <sz val="12.0"/>
      <color rgb="FF999999"/>
      <name val="Calibri"/>
    </font>
    <font>
      <sz val="12.0"/>
      <color rgb="FF38761D"/>
      <name val="Calibri"/>
    </font>
    <font>
      <sz val="12.0"/>
      <color rgb="FF00FF00"/>
      <name val="Calibri"/>
    </font>
    <font>
      <sz val="12.0"/>
      <color rgb="FF434343"/>
      <name val="Calibri"/>
    </font>
  </fonts>
  <fills count="6">
    <fill>
      <patternFill patternType="none"/>
    </fill>
    <fill>
      <patternFill patternType="lightGray"/>
    </fill>
    <fill>
      <patternFill patternType="solid">
        <fgColor rgb="FF262626"/>
        <bgColor rgb="FF262626"/>
      </patternFill>
    </fill>
    <fill>
      <patternFill patternType="solid">
        <fgColor rgb="FF280F0E"/>
        <bgColor rgb="FF280F0E"/>
      </patternFill>
    </fill>
    <fill>
      <patternFill patternType="solid">
        <fgColor rgb="FF000000"/>
        <bgColor rgb="FF000000"/>
      </patternFill>
    </fill>
    <fill>
      <patternFill patternType="solid">
        <fgColor theme="1"/>
        <bgColor theme="1"/>
      </patternFill>
    </fill>
  </fills>
  <borders count="41">
    <border/>
    <border>
      <left style="thin">
        <color rgb="FF953735"/>
      </left>
      <top style="thin">
        <color rgb="FF953735"/>
      </top>
    </border>
    <border>
      <top style="thin">
        <color rgb="FF953735"/>
      </top>
    </border>
    <border>
      <right style="thin">
        <color rgb="FF953735"/>
      </right>
      <top style="thin">
        <color rgb="FF953735"/>
      </top>
    </border>
    <border>
      <left style="thin">
        <color rgb="FF953735"/>
      </left>
      <right style="thin">
        <color rgb="FF953735"/>
      </right>
      <top style="thin">
        <color rgb="FF953735"/>
      </top>
    </border>
    <border>
      <left style="thin">
        <color rgb="FF953735"/>
      </left>
      <top style="thin">
        <color rgb="FF953735"/>
      </top>
      <bottom style="thin">
        <color rgb="FF953735"/>
      </bottom>
    </border>
    <border>
      <top style="thin">
        <color rgb="FF953735"/>
      </top>
      <bottom style="thin">
        <color rgb="FF953735"/>
      </bottom>
    </border>
    <border>
      <right style="thin">
        <color rgb="FF953735"/>
      </right>
      <top style="thin">
        <color rgb="FF953735"/>
      </top>
      <bottom style="thin">
        <color rgb="FF953735"/>
      </bottom>
    </border>
    <border>
      <left/>
      <top/>
      <bottom/>
    </border>
    <border>
      <left style="thin">
        <color rgb="FF953735"/>
      </left>
      <right style="thin">
        <color rgb="FF953735"/>
      </right>
      <top style="thin">
        <color rgb="FF953735"/>
      </top>
      <bottom style="thin">
        <color rgb="FF953735"/>
      </bottom>
    </border>
    <border>
      <left style="thin">
        <color rgb="FF953735"/>
      </left>
      <right style="thin">
        <color rgb="FF953735"/>
      </right>
      <bottom style="thin">
        <color rgb="FF953735"/>
      </bottom>
    </border>
    <border>
      <left style="thin">
        <color rgb="FF953735"/>
      </left>
      <bottom style="thin">
        <color rgb="FF953735"/>
      </bottom>
    </border>
    <border>
      <right style="thin">
        <color rgb="FF953735"/>
      </right>
      <bottom style="thin">
        <color rgb="FF953735"/>
      </bottom>
    </border>
    <border>
      <left style="thin">
        <color rgb="FF953735"/>
      </left>
      <right style="thin">
        <color rgb="FF953735"/>
      </right>
    </border>
    <border>
      <bottom style="thin">
        <color rgb="FF000000"/>
      </bottom>
    </border>
    <border>
      <left/>
      <right/>
      <top/>
      <bottom/>
    </border>
    <border>
      <left/>
      <top style="hair">
        <color rgb="FF953735"/>
      </top>
      <bottom style="hair">
        <color rgb="FF953735"/>
      </bottom>
    </border>
    <border>
      <top style="hair">
        <color rgb="FF953735"/>
      </top>
      <bottom style="hair">
        <color rgb="FF953735"/>
      </bottom>
    </border>
    <border>
      <left style="thin">
        <color rgb="FF8D281E"/>
      </left>
      <right/>
      <top style="thin">
        <color rgb="FF8D281E"/>
      </top>
      <bottom style="thin">
        <color rgb="FF8D281E"/>
      </bottom>
    </border>
    <border>
      <left style="thin">
        <color rgb="FF8D281E"/>
      </left>
      <right style="thin">
        <color rgb="FF8D281E"/>
      </right>
      <top style="thin">
        <color rgb="FF8D281E"/>
      </top>
      <bottom style="thin">
        <color rgb="FF8D281E"/>
      </bottom>
    </border>
    <border>
      <left/>
      <right/>
      <top style="thin">
        <color rgb="FF953735"/>
      </top>
      <bottom style="thin">
        <color rgb="FF953735"/>
      </bottom>
    </border>
    <border>
      <left/>
      <right style="thin">
        <color rgb="FF953735"/>
      </right>
      <bottom style="thin">
        <color rgb="FF953735"/>
      </bottom>
    </border>
    <border>
      <left style="thin">
        <color rgb="FF953735"/>
      </left>
      <right/>
      <top/>
      <bottom style="thin">
        <color rgb="FF953735"/>
      </bottom>
    </border>
    <border>
      <left style="thin">
        <color rgb="FF953735"/>
      </left>
      <right style="thin">
        <color rgb="FF953735"/>
      </right>
      <top/>
      <bottom style="thin">
        <color rgb="FF953735"/>
      </bottom>
    </border>
    <border>
      <left/>
      <right style="thin">
        <color rgb="FF953735"/>
      </right>
      <top/>
      <bottom style="thin">
        <color rgb="FF953735"/>
      </bottom>
    </border>
    <border>
      <left style="thin">
        <color rgb="FF953735"/>
      </left>
      <right/>
      <top style="thin">
        <color rgb="FF953735"/>
      </top>
      <bottom style="thin">
        <color rgb="FF953735"/>
      </bottom>
    </border>
    <border>
      <left/>
      <right style="thin">
        <color rgb="FF953735"/>
      </right>
      <top style="thin">
        <color rgb="FF953735"/>
      </top>
      <bottom style="thin">
        <color rgb="FF953735"/>
      </bottom>
    </border>
    <border>
      <left style="thin">
        <color rgb="FF953735"/>
      </left>
      <top/>
      <bottom style="thin">
        <color rgb="FF953735"/>
      </bottom>
    </border>
    <border>
      <left/>
      <right/>
      <top/>
      <bottom style="thin">
        <color rgb="FF953735"/>
      </bottom>
    </border>
    <border>
      <left style="thin">
        <color rgb="FFC9211E"/>
      </left>
      <top style="thin">
        <color rgb="FFC9211E"/>
      </top>
      <bottom style="thin">
        <color rgb="FFC9211E"/>
      </bottom>
    </border>
    <border>
      <right style="thin">
        <color rgb="FFC9211E"/>
      </right>
      <top style="thin">
        <color rgb="FFC9211E"/>
      </top>
      <bottom style="thin">
        <color rgb="FFC9211E"/>
      </bottom>
    </border>
    <border>
      <right/>
      <top/>
      <bottom/>
    </border>
    <border>
      <left style="thin">
        <color rgb="FFC9211E"/>
      </left>
    </border>
    <border>
      <right style="thin">
        <color rgb="FFC9211E"/>
      </right>
    </border>
    <border>
      <left style="thin">
        <color rgb="FFC9211E"/>
      </left>
      <bottom style="thin">
        <color rgb="FFC9211E"/>
      </bottom>
    </border>
    <border>
      <bottom style="thin">
        <color rgb="FFC9211E"/>
      </bottom>
    </border>
    <border>
      <left style="thin">
        <color rgb="FFC9211E"/>
      </left>
      <top style="thin">
        <color rgb="FFC9211E"/>
      </top>
    </border>
    <border>
      <top style="thin">
        <color rgb="FFC9211E"/>
      </top>
    </border>
    <border>
      <right style="thin">
        <color rgb="FFC9211E"/>
      </right>
      <top style="thin">
        <color rgb="FFC9211E"/>
      </top>
    </border>
    <border>
      <right style="thin">
        <color rgb="FFC9211E"/>
      </right>
      <bottom style="thin">
        <color rgb="FFC9211E"/>
      </bottom>
    </border>
    <border>
      <left/>
      <right/>
      <bottom/>
    </border>
  </borders>
  <cellStyleXfs count="1">
    <xf borderId="0" fillId="0" fontId="0" numFmtId="0" applyAlignment="1" applyFont="1"/>
  </cellStyleXfs>
  <cellXfs count="240">
    <xf borderId="0" fillId="0" fontId="0" numFmtId="0" xfId="0" applyAlignment="1" applyFont="1">
      <alignment readingOrder="0" shrinkToFit="0" vertical="bottom" wrapText="0"/>
    </xf>
    <xf borderId="0" fillId="2" fontId="1" numFmtId="0" xfId="0" applyAlignment="1" applyFill="1" applyFont="1">
      <alignment readingOrder="0" vertical="center"/>
    </xf>
    <xf borderId="0" fillId="3" fontId="2" numFmtId="0" xfId="0" applyAlignment="1" applyFill="1" applyFont="1">
      <alignment horizontal="center" vertical="center"/>
    </xf>
    <xf borderId="0" fillId="3" fontId="3" numFmtId="0" xfId="0" applyAlignment="1" applyFont="1">
      <alignment horizontal="center" readingOrder="0" vertical="center"/>
    </xf>
    <xf borderId="0" fillId="3" fontId="4" numFmtId="0" xfId="0" applyAlignment="1" applyFont="1">
      <alignment horizontal="center" readingOrder="0" vertical="center"/>
    </xf>
    <xf borderId="0" fillId="2" fontId="5" numFmtId="0" xfId="0" applyAlignment="1" applyFont="1">
      <alignment horizontal="center" readingOrder="0" vertical="center"/>
    </xf>
    <xf borderId="0" fillId="2" fontId="6" numFmtId="0" xfId="0" applyAlignment="1" applyFont="1">
      <alignment horizontal="center" readingOrder="0" vertical="center"/>
    </xf>
    <xf borderId="0" fillId="2" fontId="7" numFmtId="0" xfId="0" applyAlignment="1" applyFont="1">
      <alignment horizontal="center" readingOrder="0" vertical="center"/>
    </xf>
    <xf borderId="0" fillId="2" fontId="8" numFmtId="0" xfId="0" applyAlignment="1" applyFont="1">
      <alignment horizontal="center" readingOrder="0" vertical="center"/>
    </xf>
    <xf borderId="0" fillId="2" fontId="9" numFmtId="0" xfId="0" applyAlignment="1" applyFont="1">
      <alignment horizontal="center" readingOrder="0" vertical="center"/>
    </xf>
    <xf borderId="0" fillId="2" fontId="10" numFmtId="0" xfId="0" applyAlignment="1" applyFont="1">
      <alignment horizontal="center" readingOrder="0" vertical="center"/>
    </xf>
    <xf borderId="0" fillId="2" fontId="10" numFmtId="49" xfId="0" applyAlignment="1" applyFont="1" applyNumberFormat="1">
      <alignment horizontal="center" readingOrder="0" vertical="center"/>
    </xf>
    <xf borderId="0" fillId="2" fontId="11" numFmtId="0" xfId="0" applyFont="1"/>
    <xf borderId="0" fillId="2" fontId="12" numFmtId="0" xfId="0" applyAlignment="1" applyFont="1">
      <alignment horizontal="left"/>
    </xf>
    <xf borderId="0" fillId="2" fontId="12" numFmtId="0" xfId="0" applyAlignment="1" applyFont="1">
      <alignment horizontal="center"/>
    </xf>
    <xf borderId="0" fillId="2" fontId="12" numFmtId="0" xfId="0" applyFont="1"/>
    <xf borderId="0" fillId="2" fontId="12" numFmtId="0" xfId="0" applyAlignment="1" applyFont="1">
      <alignment horizontal="center" readingOrder="0" vertical="center"/>
    </xf>
    <xf borderId="0" fillId="2" fontId="1" numFmtId="0" xfId="0" applyAlignment="1" applyFont="1">
      <alignment vertical="center"/>
    </xf>
    <xf borderId="1" fillId="3" fontId="13" numFmtId="0" xfId="0" applyAlignment="1" applyBorder="1" applyFont="1">
      <alignment horizontal="center" readingOrder="0" vertical="center"/>
    </xf>
    <xf borderId="2" fillId="0" fontId="14" numFmtId="0" xfId="0" applyBorder="1" applyFont="1"/>
    <xf borderId="3" fillId="0" fontId="14" numFmtId="0" xfId="0" applyBorder="1" applyFont="1"/>
    <xf borderId="4" fillId="4" fontId="15" numFmtId="0" xfId="0" applyAlignment="1" applyBorder="1" applyFill="1" applyFont="1">
      <alignment horizontal="center" readingOrder="0" vertical="center"/>
    </xf>
    <xf borderId="1" fillId="4" fontId="6" numFmtId="0" xfId="0" applyAlignment="1" applyBorder="1" applyFont="1">
      <alignment horizontal="center" readingOrder="0" vertical="center"/>
    </xf>
    <xf borderId="1" fillId="4" fontId="8" numFmtId="0" xfId="0" applyAlignment="1" applyBorder="1" applyFont="1">
      <alignment horizontal="center" readingOrder="0" vertical="center"/>
    </xf>
    <xf borderId="4" fillId="4" fontId="9" numFmtId="0" xfId="0" applyAlignment="1" applyBorder="1" applyFont="1">
      <alignment horizontal="center" readingOrder="0" vertical="center"/>
    </xf>
    <xf borderId="1" fillId="4" fontId="16" numFmtId="0" xfId="0" applyAlignment="1" applyBorder="1" applyFont="1">
      <alignment horizontal="center" readingOrder="0" vertical="center"/>
    </xf>
    <xf borderId="5" fillId="4" fontId="17" numFmtId="0" xfId="0" applyAlignment="1" applyBorder="1" applyFont="1">
      <alignment horizontal="center" readingOrder="0" vertical="center"/>
    </xf>
    <xf borderId="6" fillId="0" fontId="14" numFmtId="0" xfId="0" applyBorder="1" applyFont="1"/>
    <xf borderId="7" fillId="0" fontId="14" numFmtId="0" xfId="0" applyBorder="1" applyFont="1"/>
    <xf borderId="8" fillId="2" fontId="17" numFmtId="0" xfId="0" applyAlignment="1" applyBorder="1" applyFont="1">
      <alignment vertical="center"/>
    </xf>
    <xf borderId="9" fillId="3" fontId="2" numFmtId="0" xfId="0" applyAlignment="1" applyBorder="1" applyFont="1">
      <alignment horizontal="center" vertical="center"/>
    </xf>
    <xf borderId="9" fillId="3" fontId="3" numFmtId="0" xfId="0" applyAlignment="1" applyBorder="1" applyFont="1">
      <alignment horizontal="center" readingOrder="0" vertical="center"/>
    </xf>
    <xf borderId="9" fillId="3" fontId="4" numFmtId="0" xfId="0" applyAlignment="1" applyBorder="1" applyFont="1">
      <alignment horizontal="center" readingOrder="0" vertical="center"/>
    </xf>
    <xf borderId="10" fillId="0" fontId="14" numFmtId="0" xfId="0" applyBorder="1" applyFont="1"/>
    <xf borderId="11" fillId="4" fontId="18" numFmtId="0" xfId="0" applyAlignment="1" applyBorder="1" applyFont="1">
      <alignment horizontal="center" readingOrder="0" vertical="center"/>
    </xf>
    <xf borderId="12" fillId="0" fontId="14" numFmtId="0" xfId="0" applyBorder="1" applyFont="1"/>
    <xf borderId="11" fillId="4" fontId="19" numFmtId="0" xfId="0" applyAlignment="1" applyBorder="1" applyFont="1">
      <alignment horizontal="center" readingOrder="0" vertical="center"/>
    </xf>
    <xf borderId="11" fillId="4" fontId="20" numFmtId="0" xfId="0" applyAlignment="1" applyBorder="1" applyFont="1">
      <alignment horizontal="center" readingOrder="0" vertical="center"/>
    </xf>
    <xf borderId="5" fillId="4" fontId="21" numFmtId="0" xfId="0" applyAlignment="1" applyBorder="1" applyFont="1">
      <alignment horizontal="center" vertical="center"/>
    </xf>
    <xf borderId="8" fillId="2" fontId="22" numFmtId="0" xfId="0" applyBorder="1" applyFont="1"/>
    <xf borderId="10" fillId="3" fontId="23" numFmtId="0" xfId="0" applyAlignment="1" applyBorder="1" applyFont="1">
      <alignment horizontal="center" readingOrder="0"/>
    </xf>
    <xf borderId="10" fillId="3" fontId="24" numFmtId="0" xfId="0" applyAlignment="1" applyBorder="1" applyFont="1">
      <alignment horizontal="left" readingOrder="0" vertical="center"/>
    </xf>
    <xf borderId="10" fillId="3" fontId="25" numFmtId="0" xfId="0" applyAlignment="1" applyBorder="1" applyFont="1">
      <alignment horizontal="center" readingOrder="0" vertical="center"/>
    </xf>
    <xf borderId="11" fillId="3" fontId="26" numFmtId="0" xfId="0" applyAlignment="1" applyBorder="1" applyFont="1">
      <alignment horizontal="center" readingOrder="0" vertical="center"/>
    </xf>
    <xf borderId="4" fillId="2" fontId="27" numFmtId="0" xfId="0" applyAlignment="1" applyBorder="1" applyFont="1">
      <alignment horizontal="center" readingOrder="0" vertical="center"/>
    </xf>
    <xf borderId="12" fillId="3" fontId="27" numFmtId="0" xfId="0" applyAlignment="1" applyBorder="1" applyFont="1">
      <alignment horizontal="center" readingOrder="0" vertical="center"/>
    </xf>
    <xf borderId="11" fillId="3" fontId="28" numFmtId="0" xfId="0" applyAlignment="1" applyBorder="1" applyFont="1">
      <alignment horizontal="left" readingOrder="0" vertical="center"/>
    </xf>
    <xf borderId="9" fillId="3" fontId="29" numFmtId="49" xfId="0" applyAlignment="1" applyBorder="1" applyFont="1" applyNumberFormat="1">
      <alignment horizontal="center" readingOrder="0" vertical="center"/>
    </xf>
    <xf borderId="12" fillId="3" fontId="28" numFmtId="0" xfId="0" applyAlignment="1" applyBorder="1" applyFont="1">
      <alignment horizontal="left" readingOrder="0" vertical="center"/>
    </xf>
    <xf borderId="10" fillId="3" fontId="30" numFmtId="0" xfId="0" applyAlignment="1" applyBorder="1" applyFont="1">
      <alignment horizontal="left" readingOrder="0" vertical="center"/>
    </xf>
    <xf borderId="4" fillId="2" fontId="31" numFmtId="0" xfId="0" applyAlignment="1" applyBorder="1" applyFont="1">
      <alignment horizontal="center" readingOrder="0" vertical="center"/>
    </xf>
    <xf borderId="12" fillId="3" fontId="31" numFmtId="0" xfId="0" applyAlignment="1" applyBorder="1" applyFont="1">
      <alignment horizontal="center" readingOrder="0" vertical="center"/>
    </xf>
    <xf borderId="10" fillId="3" fontId="28" numFmtId="0" xfId="0" applyAlignment="1" applyBorder="1" applyFont="1">
      <alignment horizontal="left" readingOrder="0" vertical="center"/>
    </xf>
    <xf borderId="10" fillId="3" fontId="32" numFmtId="49" xfId="0" applyAlignment="1" applyBorder="1" applyFont="1" applyNumberFormat="1">
      <alignment horizontal="left" readingOrder="0" vertical="center"/>
    </xf>
    <xf borderId="9" fillId="3" fontId="32" numFmtId="49" xfId="0" applyAlignment="1" applyBorder="1" applyFont="1" applyNumberFormat="1">
      <alignment horizontal="left" readingOrder="0" vertical="center"/>
    </xf>
    <xf borderId="0" fillId="2" fontId="33" numFmtId="0" xfId="0" applyFont="1"/>
    <xf borderId="9" fillId="4" fontId="34" numFmtId="0" xfId="0" applyAlignment="1" applyBorder="1" applyFont="1">
      <alignment readingOrder="0" vertical="center"/>
    </xf>
    <xf borderId="9" fillId="4" fontId="35" numFmtId="0" xfId="0" applyAlignment="1" applyBorder="1" applyFont="1">
      <alignment horizontal="center" vertical="bottom"/>
    </xf>
    <xf borderId="9" fillId="3" fontId="23" numFmtId="0" xfId="0" applyAlignment="1" applyBorder="1" applyFont="1">
      <alignment horizontal="center"/>
    </xf>
    <xf borderId="9" fillId="3" fontId="24" numFmtId="0" xfId="0" applyAlignment="1" applyBorder="1" applyFont="1">
      <alignment horizontal="left" readingOrder="0" vertical="center"/>
    </xf>
    <xf borderId="9" fillId="3" fontId="25" numFmtId="0" xfId="0" applyAlignment="1" applyBorder="1" applyFont="1">
      <alignment horizontal="center" readingOrder="0" vertical="center"/>
    </xf>
    <xf borderId="5" fillId="3" fontId="26" numFmtId="0" xfId="0" applyAlignment="1" applyBorder="1" applyFont="1">
      <alignment horizontal="center" readingOrder="0" vertical="center"/>
    </xf>
    <xf borderId="13" fillId="2" fontId="27" numFmtId="0" xfId="0" applyAlignment="1" applyBorder="1" applyFont="1">
      <alignment horizontal="center" readingOrder="0" vertical="center"/>
    </xf>
    <xf borderId="7" fillId="3" fontId="27" numFmtId="0" xfId="0" applyAlignment="1" applyBorder="1" applyFont="1">
      <alignment horizontal="center" readingOrder="0" vertical="center"/>
    </xf>
    <xf borderId="5" fillId="3" fontId="28" numFmtId="0" xfId="0" applyAlignment="1" applyBorder="1" applyFont="1">
      <alignment horizontal="left" readingOrder="0" vertical="center"/>
    </xf>
    <xf borderId="7" fillId="3" fontId="28" numFmtId="0" xfId="0" applyAlignment="1" applyBorder="1" applyFont="1">
      <alignment horizontal="left" readingOrder="0" vertical="center"/>
    </xf>
    <xf borderId="9" fillId="3" fontId="30" numFmtId="0" xfId="0" applyAlignment="1" applyBorder="1" applyFont="1">
      <alignment horizontal="left" readingOrder="0" vertical="center"/>
    </xf>
    <xf borderId="13" fillId="2" fontId="31" numFmtId="0" xfId="0" applyAlignment="1" applyBorder="1" applyFont="1">
      <alignment horizontal="center" readingOrder="0" vertical="center"/>
    </xf>
    <xf borderId="7" fillId="3" fontId="31" numFmtId="0" xfId="0" applyAlignment="1" applyBorder="1" applyFont="1">
      <alignment horizontal="center" readingOrder="0" vertical="center"/>
    </xf>
    <xf borderId="9" fillId="3" fontId="28" numFmtId="0" xfId="0" applyAlignment="1" applyBorder="1" applyFont="1">
      <alignment horizontal="left" readingOrder="0" vertical="center"/>
    </xf>
    <xf borderId="9" fillId="4" fontId="36" numFmtId="0" xfId="0" applyAlignment="1" applyBorder="1" applyFont="1">
      <alignment horizontal="left" readingOrder="0" vertical="center"/>
    </xf>
    <xf borderId="9" fillId="4" fontId="21" numFmtId="0" xfId="0" applyAlignment="1" applyBorder="1" applyFont="1">
      <alignment horizontal="center" vertical="bottom"/>
    </xf>
    <xf borderId="9" fillId="3" fontId="23" numFmtId="0" xfId="0" applyAlignment="1" applyBorder="1" applyFont="1">
      <alignment horizontal="center" readingOrder="0"/>
    </xf>
    <xf borderId="9" fillId="4" fontId="12" numFmtId="0" xfId="0" applyAlignment="1" applyBorder="1" applyFont="1">
      <alignment vertical="bottom"/>
    </xf>
    <xf borderId="9" fillId="4" fontId="37" numFmtId="0" xfId="0" applyAlignment="1" applyBorder="1" applyFont="1">
      <alignment horizontal="center" readingOrder="0" vertical="bottom"/>
    </xf>
    <xf borderId="9" fillId="4" fontId="38" numFmtId="0" xfId="0" applyAlignment="1" applyBorder="1" applyFont="1">
      <alignment horizontal="center" vertical="bottom"/>
    </xf>
    <xf borderId="5" fillId="4" fontId="37" numFmtId="0" xfId="0" applyAlignment="1" applyBorder="1" applyFont="1">
      <alignment horizontal="left" readingOrder="0" vertical="bottom"/>
    </xf>
    <xf borderId="0" fillId="4" fontId="12" numFmtId="0" xfId="0" applyAlignment="1" applyFont="1">
      <alignment horizontal="left" vertical="bottom"/>
    </xf>
    <xf borderId="0" fillId="4" fontId="38" numFmtId="0" xfId="0" applyAlignment="1" applyFont="1">
      <alignment horizontal="center" vertical="bottom"/>
    </xf>
    <xf borderId="5" fillId="4" fontId="12" numFmtId="0" xfId="0" applyAlignment="1" applyBorder="1" applyFont="1">
      <alignment horizontal="left" vertical="bottom"/>
    </xf>
    <xf borderId="9" fillId="4" fontId="12" numFmtId="0" xfId="0" applyAlignment="1" applyBorder="1" applyFont="1">
      <alignment vertical="bottom"/>
    </xf>
    <xf borderId="9" fillId="4" fontId="38" numFmtId="0" xfId="0" applyAlignment="1" applyBorder="1" applyFont="1">
      <alignment horizontal="center" vertical="bottom"/>
    </xf>
    <xf borderId="0" fillId="4" fontId="38" numFmtId="0" xfId="0" applyAlignment="1" applyFont="1">
      <alignment vertical="bottom"/>
    </xf>
    <xf borderId="0" fillId="4" fontId="38" numFmtId="0" xfId="0" applyAlignment="1" applyFont="1">
      <alignment horizontal="center" vertical="bottom"/>
    </xf>
    <xf borderId="0" fillId="4" fontId="12" numFmtId="0" xfId="0" applyAlignment="1" applyFont="1">
      <alignment horizontal="left" readingOrder="0"/>
    </xf>
    <xf borderId="0" fillId="4" fontId="12" numFmtId="0" xfId="0" applyAlignment="1" applyFont="1">
      <alignment horizontal="center" readingOrder="0"/>
    </xf>
    <xf borderId="5" fillId="3" fontId="29" numFmtId="49" xfId="0" applyAlignment="1" applyBorder="1" applyFont="1" applyNumberFormat="1">
      <alignment horizontal="center" readingOrder="0" vertical="center"/>
    </xf>
    <xf borderId="5" fillId="4" fontId="12" numFmtId="0" xfId="0" applyAlignment="1" applyBorder="1" applyFont="1">
      <alignment horizontal="left" readingOrder="0"/>
    </xf>
    <xf borderId="9" fillId="4" fontId="12" numFmtId="0" xfId="0" applyAlignment="1" applyBorder="1" applyFont="1">
      <alignment horizontal="center" readingOrder="0"/>
    </xf>
    <xf borderId="0" fillId="2" fontId="39" numFmtId="0" xfId="0" applyFont="1"/>
    <xf borderId="5" fillId="4" fontId="40" numFmtId="0" xfId="0" applyAlignment="1" applyBorder="1" applyFont="1">
      <alignment horizontal="center" readingOrder="0"/>
    </xf>
    <xf borderId="5" fillId="4" fontId="41" numFmtId="0" xfId="0" applyAlignment="1" applyBorder="1" applyFont="1">
      <alignment horizontal="center" readingOrder="0"/>
    </xf>
    <xf borderId="9" fillId="4" fontId="42" numFmtId="0" xfId="0" applyAlignment="1" applyBorder="1" applyFont="1">
      <alignment horizontal="center" vertical="bottom"/>
    </xf>
    <xf borderId="0" fillId="2" fontId="39" numFmtId="0" xfId="0" applyAlignment="1" applyFont="1">
      <alignment horizontal="left"/>
    </xf>
    <xf borderId="0" fillId="2" fontId="39" numFmtId="0" xfId="0" applyAlignment="1" applyFont="1">
      <alignment horizontal="center"/>
    </xf>
    <xf borderId="9" fillId="3" fontId="32" numFmtId="49" xfId="0" applyAlignment="1" applyBorder="1" applyFont="1" applyNumberFormat="1">
      <alignment horizontal="center" readingOrder="0" vertical="center"/>
    </xf>
    <xf borderId="10" fillId="2" fontId="27" numFmtId="0" xfId="0" applyAlignment="1" applyBorder="1" applyFont="1">
      <alignment horizontal="center" readingOrder="0" vertical="center"/>
    </xf>
    <xf borderId="10" fillId="2" fontId="31" numFmtId="0" xfId="0" applyAlignment="1" applyBorder="1" applyFont="1">
      <alignment horizontal="center" readingOrder="0" vertical="center"/>
    </xf>
    <xf borderId="0" fillId="2" fontId="43" numFmtId="0" xfId="0" applyAlignment="1" applyFont="1">
      <alignment vertical="bottom"/>
    </xf>
    <xf borderId="14" fillId="2" fontId="43" numFmtId="0" xfId="0" applyAlignment="1" applyBorder="1" applyFont="1">
      <alignment vertical="bottom"/>
    </xf>
    <xf borderId="0" fillId="2" fontId="33" numFmtId="0" xfId="0" applyAlignment="1" applyFont="1">
      <alignment horizontal="center"/>
    </xf>
    <xf borderId="0" fillId="2" fontId="44" numFmtId="0" xfId="0" applyFont="1"/>
    <xf borderId="0" fillId="2" fontId="45" numFmtId="49" xfId="0" applyAlignment="1" applyFont="1" applyNumberFormat="1">
      <alignment horizontal="center"/>
    </xf>
    <xf borderId="0" fillId="2" fontId="46" numFmtId="0" xfId="0" applyFont="1"/>
    <xf borderId="0" fillId="2" fontId="46" numFmtId="49" xfId="0" applyFont="1" applyNumberFormat="1"/>
    <xf borderId="0" fillId="0" fontId="43" numFmtId="0" xfId="0" applyAlignment="1" applyFont="1">
      <alignment vertical="bottom"/>
    </xf>
    <xf borderId="0" fillId="5" fontId="47" numFmtId="0" xfId="0" applyFill="1" applyFont="1"/>
    <xf borderId="0" fillId="0" fontId="48" numFmtId="0" xfId="0" applyAlignment="1" applyFont="1">
      <alignment horizontal="center"/>
    </xf>
    <xf borderId="0" fillId="0" fontId="33" numFmtId="0" xfId="0" applyAlignment="1" applyFont="1">
      <alignment horizontal="center"/>
    </xf>
    <xf borderId="0" fillId="0" fontId="44" numFmtId="0" xfId="0" applyFont="1"/>
    <xf borderId="0" fillId="0" fontId="45" numFmtId="49" xfId="0" applyAlignment="1" applyFont="1" applyNumberFormat="1">
      <alignment horizontal="center"/>
    </xf>
    <xf borderId="0" fillId="0" fontId="46" numFmtId="0" xfId="0" applyFont="1"/>
    <xf borderId="0" fillId="0" fontId="46" numFmtId="49" xfId="0" applyFont="1" applyNumberFormat="1"/>
    <xf borderId="0" fillId="0" fontId="39" numFmtId="0" xfId="0" applyAlignment="1" applyFont="1">
      <alignment horizontal="left"/>
    </xf>
    <xf borderId="0" fillId="0" fontId="39" numFmtId="0" xfId="0" applyAlignment="1" applyFont="1">
      <alignment horizontal="center"/>
    </xf>
    <xf borderId="0" fillId="0" fontId="39" numFmtId="0" xfId="0" applyFont="1"/>
    <xf borderId="15" fillId="2" fontId="49" numFmtId="0" xfId="0" applyAlignment="1" applyBorder="1" applyFont="1">
      <alignment vertical="center"/>
    </xf>
    <xf borderId="15" fillId="4" fontId="50" numFmtId="0" xfId="0" applyAlignment="1" applyBorder="1" applyFont="1">
      <alignment horizontal="center" vertical="center"/>
    </xf>
    <xf borderId="15" fillId="4" fontId="28" numFmtId="0" xfId="0" applyAlignment="1" applyBorder="1" applyFont="1">
      <alignment horizontal="center" shrinkToFit="0" vertical="center" wrapText="1"/>
    </xf>
    <xf borderId="16" fillId="4" fontId="50" numFmtId="0" xfId="0" applyAlignment="1" applyBorder="1" applyFont="1">
      <alignment horizontal="left" shrinkToFit="0" vertical="center" wrapText="1"/>
    </xf>
    <xf borderId="17" fillId="0" fontId="14" numFmtId="0" xfId="0" applyBorder="1" applyFont="1"/>
    <xf borderId="15" fillId="2" fontId="22" numFmtId="0" xfId="0" applyBorder="1" applyFont="1"/>
    <xf borderId="18" fillId="3" fontId="30" numFmtId="0" xfId="0" applyAlignment="1" applyBorder="1" applyFont="1">
      <alignment horizontal="left" shrinkToFit="0" vertical="center" wrapText="1"/>
    </xf>
    <xf borderId="19" fillId="2" fontId="50" numFmtId="0" xfId="0" applyAlignment="1" applyBorder="1" applyFont="1">
      <alignment horizontal="center" shrinkToFit="0" vertical="center" wrapText="1"/>
    </xf>
    <xf borderId="20" fillId="4" fontId="26" numFmtId="0" xfId="0" applyAlignment="1" applyBorder="1" applyFont="1">
      <alignment horizontal="center" vertical="center"/>
    </xf>
    <xf borderId="9" fillId="2" fontId="30" numFmtId="0" xfId="0" applyAlignment="1" applyBorder="1" applyFont="1">
      <alignment horizontal="center" vertical="center"/>
    </xf>
    <xf borderId="21" fillId="3" fontId="50" numFmtId="0" xfId="0" applyAlignment="1" applyBorder="1" applyFont="1">
      <alignment horizontal="center" shrinkToFit="0" vertical="center" wrapText="1"/>
    </xf>
    <xf borderId="21" fillId="3" fontId="30" numFmtId="0" xfId="0" applyAlignment="1" applyBorder="1" applyFont="1">
      <alignment horizontal="left" shrinkToFit="0" vertical="top" wrapText="1"/>
    </xf>
    <xf borderId="22" fillId="3" fontId="30" numFmtId="0" xfId="0" applyAlignment="1" applyBorder="1" applyFont="1">
      <alignment horizontal="left" shrinkToFit="0" vertical="center" wrapText="1"/>
    </xf>
    <xf borderId="23" fillId="2" fontId="50" numFmtId="0" xfId="0" applyAlignment="1" applyBorder="1" applyFont="1">
      <alignment horizontal="center" shrinkToFit="0" vertical="center" wrapText="1"/>
    </xf>
    <xf borderId="24" fillId="3" fontId="50" numFmtId="0" xfId="0" applyAlignment="1" applyBorder="1" applyFont="1">
      <alignment horizontal="center" shrinkToFit="0" vertical="center" wrapText="1"/>
    </xf>
    <xf borderId="24" fillId="3" fontId="30" numFmtId="0" xfId="0" applyAlignment="1" applyBorder="1" applyFont="1">
      <alignment horizontal="left" shrinkToFit="0" vertical="top" wrapText="1"/>
    </xf>
    <xf borderId="25" fillId="3" fontId="30" numFmtId="0" xfId="0" applyAlignment="1" applyBorder="1" applyFont="1">
      <alignment horizontal="left" shrinkToFit="0" vertical="center" wrapText="1"/>
    </xf>
    <xf borderId="9" fillId="2" fontId="50" numFmtId="0" xfId="0" applyAlignment="1" applyBorder="1" applyFont="1">
      <alignment horizontal="center" shrinkToFit="0" vertical="center" wrapText="1"/>
    </xf>
    <xf borderId="26" fillId="3" fontId="50" numFmtId="0" xfId="0" applyAlignment="1" applyBorder="1" applyFont="1">
      <alignment horizontal="center" shrinkToFit="0" vertical="center" wrapText="1"/>
    </xf>
    <xf borderId="26" fillId="3" fontId="30" numFmtId="0" xfId="0" applyAlignment="1" applyBorder="1" applyFont="1">
      <alignment horizontal="left" shrinkToFit="0" vertical="top" wrapText="1"/>
    </xf>
    <xf borderId="24" fillId="3" fontId="50" numFmtId="0" xfId="0" applyAlignment="1" applyBorder="1" applyFont="1">
      <alignment horizontal="center" readingOrder="0" shrinkToFit="0" vertical="center" wrapText="1"/>
    </xf>
    <xf borderId="15" fillId="2" fontId="26" numFmtId="0" xfId="0" applyBorder="1" applyFont="1"/>
    <xf borderId="15" fillId="2" fontId="30" numFmtId="0" xfId="0" applyAlignment="1" applyBorder="1" applyFont="1">
      <alignment horizontal="left" vertical="center"/>
    </xf>
    <xf borderId="15" fillId="2" fontId="50" numFmtId="0" xfId="0" applyAlignment="1" applyBorder="1" applyFont="1">
      <alignment horizontal="center" vertical="center"/>
    </xf>
    <xf borderId="15" fillId="2" fontId="26" numFmtId="0" xfId="0" applyAlignment="1" applyBorder="1" applyFont="1">
      <alignment horizontal="center" vertical="center"/>
    </xf>
    <xf borderId="15" fillId="2" fontId="30" numFmtId="0" xfId="0" applyAlignment="1" applyBorder="1" applyFont="1">
      <alignment horizontal="center" vertical="center"/>
    </xf>
    <xf borderId="15" fillId="2" fontId="30" numFmtId="0" xfId="0" applyAlignment="1" applyBorder="1" applyFont="1">
      <alignment horizontal="left" vertical="top"/>
    </xf>
    <xf borderId="15" fillId="2" fontId="51" numFmtId="0" xfId="0" applyAlignment="1" applyBorder="1" applyFont="1">
      <alignment vertical="center"/>
    </xf>
    <xf borderId="15" fillId="4" fontId="52" numFmtId="0" xfId="0" applyAlignment="1" applyBorder="1" applyFont="1">
      <alignment horizontal="center" vertical="center"/>
    </xf>
    <xf borderId="15" fillId="4" fontId="4" numFmtId="0" xfId="0" applyAlignment="1" applyBorder="1" applyFont="1">
      <alignment horizontal="center" shrinkToFit="0" vertical="center" wrapText="1"/>
    </xf>
    <xf borderId="15" fillId="4" fontId="52" numFmtId="0" xfId="0" applyAlignment="1" applyBorder="1" applyFont="1">
      <alignment horizontal="left" shrinkToFit="0" vertical="center" wrapText="1"/>
    </xf>
    <xf borderId="15" fillId="4" fontId="51" numFmtId="0" xfId="0" applyAlignment="1" applyBorder="1" applyFont="1">
      <alignment vertical="center"/>
    </xf>
    <xf borderId="15" fillId="2" fontId="53" numFmtId="0" xfId="0" applyBorder="1" applyFont="1"/>
    <xf borderId="20" fillId="4" fontId="37" numFmtId="0" xfId="0" applyAlignment="1" applyBorder="1" applyFont="1">
      <alignment horizontal="center" readingOrder="0" vertical="center"/>
    </xf>
    <xf borderId="9" fillId="2" fontId="30" numFmtId="0" xfId="0" applyAlignment="1" applyBorder="1" applyFont="1">
      <alignment horizontal="center" readingOrder="0" vertical="center"/>
    </xf>
    <xf borderId="9" fillId="3" fontId="30" numFmtId="0" xfId="0" applyAlignment="1" applyBorder="1" applyFont="1">
      <alignment horizontal="left" shrinkToFit="0" vertical="top" wrapText="1"/>
    </xf>
    <xf borderId="20" fillId="4" fontId="28" numFmtId="0" xfId="0" applyAlignment="1" applyBorder="1" applyFont="1">
      <alignment horizontal="center" vertical="center"/>
    </xf>
    <xf borderId="15" fillId="2" fontId="22" numFmtId="0" xfId="0" applyAlignment="1" applyBorder="1" applyFont="1">
      <alignment vertical="center"/>
    </xf>
    <xf borderId="15" fillId="4" fontId="52" numFmtId="0" xfId="0" applyAlignment="1" applyBorder="1" applyFont="1">
      <alignment horizontal="center" readingOrder="0" vertical="center"/>
    </xf>
    <xf borderId="15" fillId="4" fontId="13" numFmtId="0" xfId="0" applyAlignment="1" applyBorder="1" applyFont="1">
      <alignment horizontal="center" readingOrder="0" vertical="center"/>
    </xf>
    <xf borderId="15" fillId="4" fontId="54" numFmtId="0" xfId="0" applyAlignment="1" applyBorder="1" applyFont="1">
      <alignment horizontal="center" readingOrder="0" vertical="center"/>
    </xf>
    <xf borderId="25" fillId="3" fontId="30" numFmtId="0" xfId="0" applyAlignment="1" applyBorder="1" applyFont="1">
      <alignment horizontal="left" readingOrder="0" vertical="center"/>
    </xf>
    <xf borderId="5" fillId="2" fontId="55" numFmtId="0" xfId="0" applyAlignment="1" applyBorder="1" applyFont="1">
      <alignment horizontal="center" readingOrder="0" vertical="center"/>
    </xf>
    <xf borderId="5" fillId="3" fontId="56" numFmtId="0" xfId="0" applyAlignment="1" applyBorder="1" applyFont="1">
      <alignment horizontal="center" readingOrder="0" vertical="center"/>
    </xf>
    <xf borderId="9" fillId="2" fontId="50" numFmtId="0" xfId="0" applyAlignment="1" applyBorder="1" applyFont="1">
      <alignment horizontal="center" vertical="center"/>
    </xf>
    <xf borderId="20" fillId="4" fontId="28" numFmtId="0" xfId="0" applyAlignment="1" applyBorder="1" applyFont="1">
      <alignment horizontal="center" readingOrder="0" vertical="center"/>
    </xf>
    <xf borderId="25" fillId="3" fontId="30" numFmtId="0" xfId="0" applyAlignment="1" applyBorder="1" applyFont="1">
      <alignment horizontal="left" vertical="center"/>
    </xf>
    <xf borderId="5" fillId="2" fontId="56" numFmtId="0" xfId="0" applyAlignment="1" applyBorder="1" applyFont="1">
      <alignment horizontal="center" readingOrder="0" vertical="center"/>
    </xf>
    <xf borderId="9" fillId="2" fontId="57" numFmtId="0" xfId="0" applyAlignment="1" applyBorder="1" applyFont="1">
      <alignment horizontal="center" vertical="center"/>
    </xf>
    <xf borderId="5" fillId="2" fontId="55" numFmtId="0" xfId="0" applyAlignment="1" applyBorder="1" applyFont="1">
      <alignment horizontal="center" vertical="center"/>
    </xf>
    <xf borderId="5" fillId="3" fontId="56" numFmtId="0" xfId="0" applyAlignment="1" applyBorder="1" applyFont="1">
      <alignment horizontal="center" vertical="center"/>
    </xf>
    <xf borderId="9" fillId="2" fontId="50" numFmtId="0" xfId="0" applyAlignment="1" applyBorder="1" applyFont="1">
      <alignment horizontal="center" readingOrder="0" vertical="center"/>
    </xf>
    <xf borderId="26" fillId="3" fontId="30" numFmtId="0" xfId="0" applyAlignment="1" applyBorder="1" applyFont="1">
      <alignment horizontal="left" readingOrder="0" shrinkToFit="0" vertical="top" wrapText="1"/>
    </xf>
    <xf borderId="9" fillId="2" fontId="55" numFmtId="0" xfId="0" applyAlignment="1" applyBorder="1" applyFont="1">
      <alignment horizontal="center" readingOrder="0" vertical="center"/>
    </xf>
    <xf borderId="9" fillId="3" fontId="56" numFmtId="0" xfId="0" applyAlignment="1" applyBorder="1" applyFont="1">
      <alignment horizontal="center" readingOrder="0" vertical="center"/>
    </xf>
    <xf borderId="22" fillId="3" fontId="30" numFmtId="0" xfId="0" applyAlignment="1" applyBorder="1" applyFont="1">
      <alignment horizontal="left" vertical="center"/>
    </xf>
    <xf borderId="27" fillId="2" fontId="55" numFmtId="0" xfId="0" applyAlignment="1" applyBorder="1" applyFont="1">
      <alignment horizontal="center" vertical="center"/>
    </xf>
    <xf borderId="27" fillId="3" fontId="56" numFmtId="0" xfId="0" applyAlignment="1" applyBorder="1" applyFont="1">
      <alignment horizontal="center" vertical="center"/>
    </xf>
    <xf borderId="23" fillId="2" fontId="50" numFmtId="0" xfId="0" applyAlignment="1" applyBorder="1" applyFont="1">
      <alignment horizontal="center" vertical="center"/>
    </xf>
    <xf borderId="28" fillId="4" fontId="28" numFmtId="0" xfId="0" applyAlignment="1" applyBorder="1" applyFont="1">
      <alignment horizontal="center" vertical="center"/>
    </xf>
    <xf borderId="11" fillId="2" fontId="55" numFmtId="0" xfId="0" applyAlignment="1" applyBorder="1" applyFont="1">
      <alignment horizontal="center" vertical="center"/>
    </xf>
    <xf borderId="11" fillId="3" fontId="56" numFmtId="0" xfId="0" applyAlignment="1" applyBorder="1" applyFont="1">
      <alignment horizontal="center" vertical="center"/>
    </xf>
    <xf borderId="15" fillId="2" fontId="58" numFmtId="0" xfId="0" applyAlignment="1" applyBorder="1" applyFont="1">
      <alignment horizontal="center" vertical="center"/>
    </xf>
    <xf borderId="15" fillId="2" fontId="56" numFmtId="0" xfId="0" applyAlignment="1" applyBorder="1" applyFont="1">
      <alignment horizontal="center" vertical="center"/>
    </xf>
    <xf borderId="15" fillId="2" fontId="28" numFmtId="0" xfId="0" applyAlignment="1" applyBorder="1" applyFont="1">
      <alignment horizontal="center" vertical="center"/>
    </xf>
    <xf borderId="15" fillId="2" fontId="30" numFmtId="0" xfId="0" applyAlignment="1" applyBorder="1" applyFont="1">
      <alignment horizontal="left" shrinkToFit="0" vertical="top" wrapText="1"/>
    </xf>
    <xf borderId="0" fillId="3" fontId="53" numFmtId="0" xfId="0" applyFont="1"/>
    <xf borderId="0" fillId="3" fontId="28" numFmtId="0" xfId="0" applyAlignment="1" applyFont="1">
      <alignment horizontal="left" vertical="center"/>
    </xf>
    <xf borderId="0" fillId="3" fontId="52" numFmtId="164" xfId="0" applyAlignment="1" applyFont="1" applyNumberFormat="1">
      <alignment horizontal="left" vertical="center"/>
    </xf>
    <xf borderId="0" fillId="3" fontId="28" numFmtId="0" xfId="0" applyAlignment="1" applyFont="1">
      <alignment horizontal="center" vertical="center"/>
    </xf>
    <xf borderId="0" fillId="3" fontId="50" numFmtId="164" xfId="0" applyAlignment="1" applyFont="1" applyNumberFormat="1">
      <alignment horizontal="left" vertical="center"/>
    </xf>
    <xf borderId="0" fillId="3" fontId="28" numFmtId="0" xfId="0" applyAlignment="1" applyFont="1">
      <alignment horizontal="left" shrinkToFit="0" wrapText="1"/>
    </xf>
    <xf borderId="8" fillId="3" fontId="53" numFmtId="0" xfId="0" applyBorder="1" applyFont="1"/>
    <xf borderId="29" fillId="4" fontId="28" numFmtId="0" xfId="0" applyAlignment="1" applyBorder="1" applyFont="1">
      <alignment horizontal="left" vertical="center"/>
    </xf>
    <xf borderId="30" fillId="4" fontId="52" numFmtId="164" xfId="0" applyAlignment="1" applyBorder="1" applyFont="1" applyNumberFormat="1">
      <alignment horizontal="left" vertical="center"/>
    </xf>
    <xf borderId="29" fillId="4" fontId="28" numFmtId="0" xfId="0" applyAlignment="1" applyBorder="1" applyFont="1">
      <alignment horizontal="center" vertical="center"/>
    </xf>
    <xf borderId="30" fillId="4" fontId="50" numFmtId="164" xfId="0" applyAlignment="1" applyBorder="1" applyFont="1" applyNumberFormat="1">
      <alignment horizontal="left" vertical="center"/>
    </xf>
    <xf borderId="31" fillId="3" fontId="28" numFmtId="0" xfId="0" applyAlignment="1" applyBorder="1" applyFont="1">
      <alignment horizontal="left" shrinkToFit="0" wrapText="1"/>
    </xf>
    <xf borderId="15" fillId="3" fontId="53" numFmtId="0" xfId="0" applyBorder="1" applyFont="1"/>
    <xf borderId="32" fillId="3" fontId="28" numFmtId="0" xfId="0" applyAlignment="1" applyBorder="1" applyFont="1">
      <alignment horizontal="left"/>
    </xf>
    <xf borderId="0" fillId="3" fontId="50" numFmtId="164" xfId="0" applyAlignment="1" applyFont="1" applyNumberFormat="1">
      <alignment horizontal="center"/>
    </xf>
    <xf borderId="33" fillId="3" fontId="28" numFmtId="10" xfId="0" applyAlignment="1" applyBorder="1" applyFont="1" applyNumberFormat="1">
      <alignment horizontal="left"/>
    </xf>
    <xf borderId="31" fillId="3" fontId="28" numFmtId="0" xfId="0" applyAlignment="1" applyBorder="1" applyFont="1">
      <alignment horizontal="center"/>
    </xf>
    <xf borderId="34" fillId="3" fontId="28" numFmtId="0" xfId="0" applyAlignment="1" applyBorder="1" applyFont="1">
      <alignment horizontal="left"/>
    </xf>
    <xf borderId="35" fillId="3" fontId="50" numFmtId="164" xfId="0" applyAlignment="1" applyBorder="1" applyFont="1" applyNumberFormat="1">
      <alignment horizontal="center"/>
    </xf>
    <xf borderId="35" fillId="0" fontId="14" numFmtId="0" xfId="0" applyBorder="1" applyFont="1"/>
    <xf borderId="36" fillId="4" fontId="28" numFmtId="0" xfId="0" applyAlignment="1" applyBorder="1" applyFont="1">
      <alignment horizontal="left"/>
    </xf>
    <xf borderId="37" fillId="4" fontId="28" numFmtId="164" xfId="0" applyAlignment="1" applyBorder="1" applyFont="1" applyNumberFormat="1">
      <alignment horizontal="left"/>
    </xf>
    <xf borderId="36" fillId="4" fontId="32" numFmtId="0" xfId="0" applyAlignment="1" applyBorder="1" applyFont="1">
      <alignment horizontal="left"/>
    </xf>
    <xf borderId="38" fillId="4" fontId="32" numFmtId="10" xfId="0" applyAlignment="1" applyBorder="1" applyFont="1" applyNumberFormat="1">
      <alignment horizontal="left"/>
    </xf>
    <xf borderId="32" fillId="4" fontId="28" numFmtId="0" xfId="0" applyAlignment="1" applyBorder="1" applyFont="1">
      <alignment horizontal="left"/>
    </xf>
    <xf borderId="0" fillId="4" fontId="28" numFmtId="164" xfId="0" applyAlignment="1" applyFont="1" applyNumberFormat="1">
      <alignment horizontal="left"/>
    </xf>
    <xf borderId="32" fillId="4" fontId="59" numFmtId="0" xfId="0" applyAlignment="1" applyBorder="1" applyFont="1">
      <alignment horizontal="left"/>
    </xf>
    <xf borderId="33" fillId="4" fontId="59" numFmtId="10" xfId="0" applyAlignment="1" applyBorder="1" applyFont="1" applyNumberFormat="1">
      <alignment horizontal="left"/>
    </xf>
    <xf borderId="32" fillId="4" fontId="28" numFmtId="0" xfId="0" applyAlignment="1" applyBorder="1" applyFont="1">
      <alignment horizontal="left" readingOrder="0"/>
    </xf>
    <xf borderId="0" fillId="4" fontId="50" numFmtId="164" xfId="0" applyAlignment="1" applyFont="1" applyNumberFormat="1">
      <alignment horizontal="left"/>
    </xf>
    <xf borderId="32" fillId="4" fontId="60" numFmtId="0" xfId="0" applyAlignment="1" applyBorder="1" applyFont="1">
      <alignment horizontal="left"/>
    </xf>
    <xf borderId="33" fillId="4" fontId="61" numFmtId="10" xfId="0" applyAlignment="1" applyBorder="1" applyFont="1" applyNumberFormat="1">
      <alignment horizontal="left"/>
    </xf>
    <xf borderId="32" fillId="4" fontId="62" numFmtId="0" xfId="0" applyAlignment="1" applyBorder="1" applyFont="1">
      <alignment horizontal="left"/>
    </xf>
    <xf borderId="33" fillId="4" fontId="63" numFmtId="10" xfId="0" applyAlignment="1" applyBorder="1" applyFont="1" applyNumberFormat="1">
      <alignment horizontal="left"/>
    </xf>
    <xf borderId="34" fillId="4" fontId="28" numFmtId="0" xfId="0" applyAlignment="1" applyBorder="1" applyFont="1">
      <alignment horizontal="left"/>
    </xf>
    <xf borderId="35" fillId="4" fontId="28" numFmtId="164" xfId="0" applyAlignment="1" applyBorder="1" applyFont="1" applyNumberFormat="1">
      <alignment horizontal="left"/>
    </xf>
    <xf borderId="32" fillId="4" fontId="64" numFmtId="0" xfId="0" applyAlignment="1" applyBorder="1" applyFont="1">
      <alignment horizontal="left"/>
    </xf>
    <xf borderId="33" fillId="4" fontId="65" numFmtId="10" xfId="0" applyAlignment="1" applyBorder="1" applyFont="1" applyNumberFormat="1">
      <alignment horizontal="left"/>
    </xf>
    <xf borderId="32" fillId="3" fontId="66" numFmtId="0" xfId="0" applyAlignment="1" applyBorder="1" applyFont="1">
      <alignment horizontal="left"/>
    </xf>
    <xf borderId="0" fillId="3" fontId="28" numFmtId="164" xfId="0" applyAlignment="1" applyFont="1" applyNumberFormat="1">
      <alignment horizontal="left"/>
    </xf>
    <xf borderId="32" fillId="4" fontId="67" numFmtId="0" xfId="0" applyAlignment="1" applyBorder="1" applyFont="1">
      <alignment horizontal="left" vertical="center"/>
    </xf>
    <xf borderId="33" fillId="4" fontId="67" numFmtId="10" xfId="0" applyAlignment="1" applyBorder="1" applyFont="1" applyNumberFormat="1">
      <alignment horizontal="left" vertical="center"/>
    </xf>
    <xf borderId="32" fillId="0" fontId="14" numFmtId="0" xfId="0" applyBorder="1" applyFont="1"/>
    <xf borderId="33" fillId="0" fontId="14" numFmtId="0" xfId="0" applyBorder="1" applyFont="1"/>
    <xf borderId="32" fillId="4" fontId="68" numFmtId="0" xfId="0" applyAlignment="1" applyBorder="1" applyFont="1">
      <alignment horizontal="left" vertical="center"/>
    </xf>
    <xf borderId="33" fillId="4" fontId="68" numFmtId="10" xfId="0" applyAlignment="1" applyBorder="1" applyFont="1" applyNumberFormat="1">
      <alignment horizontal="left" vertical="center"/>
    </xf>
    <xf borderId="34" fillId="0" fontId="14" numFmtId="0" xfId="0" applyBorder="1" applyFont="1"/>
    <xf borderId="39" fillId="0" fontId="14" numFmtId="0" xfId="0" applyBorder="1" applyFont="1"/>
    <xf borderId="0" fillId="3" fontId="28" numFmtId="0" xfId="0" applyAlignment="1" applyFont="1">
      <alignment horizontal="center"/>
    </xf>
    <xf borderId="0" fillId="3" fontId="69" numFmtId="164" xfId="0" applyAlignment="1" applyFont="1" applyNumberFormat="1">
      <alignment horizontal="center"/>
    </xf>
    <xf borderId="40" fillId="3" fontId="28" numFmtId="0" xfId="0" applyAlignment="1" applyBorder="1" applyFont="1">
      <alignment horizontal="center"/>
    </xf>
    <xf borderId="40" fillId="3" fontId="4" numFmtId="164" xfId="0" applyAlignment="1" applyBorder="1" applyFont="1" applyNumberFormat="1">
      <alignment horizontal="center"/>
    </xf>
    <xf borderId="40" fillId="3" fontId="28" numFmtId="10" xfId="0" applyAlignment="1" applyBorder="1" applyFont="1" applyNumberFormat="1">
      <alignment horizontal="center"/>
    </xf>
    <xf borderId="40" fillId="3" fontId="28" numFmtId="0" xfId="0" applyAlignment="1" applyBorder="1" applyFont="1">
      <alignment horizontal="center" vertical="center"/>
    </xf>
    <xf borderId="15" fillId="3" fontId="28" numFmtId="0" xfId="0" applyAlignment="1" applyBorder="1" applyFont="1">
      <alignment horizontal="center"/>
    </xf>
    <xf borderId="15" fillId="3" fontId="4" numFmtId="164" xfId="0" applyAlignment="1" applyBorder="1" applyFont="1" applyNumberFormat="1">
      <alignment horizontal="center"/>
    </xf>
    <xf borderId="15" fillId="3" fontId="28" numFmtId="10" xfId="0" applyAlignment="1" applyBorder="1" applyFont="1" applyNumberFormat="1">
      <alignment horizontal="center"/>
    </xf>
    <xf borderId="15" fillId="3" fontId="28" numFmtId="0" xfId="0" applyAlignment="1" applyBorder="1" applyFont="1">
      <alignment horizontal="center" vertical="center"/>
    </xf>
  </cellXfs>
  <cellStyles count="1">
    <cellStyle xfId="0" name="Normal" builtinId="0"/>
  </cellStyles>
  <dxfs count="24">
    <dxf>
      <font>
        <color rgb="FF333333"/>
      </font>
      <fill>
        <patternFill patternType="solid">
          <fgColor rgb="FF280F0E"/>
          <bgColor rgb="FF280F0E"/>
        </patternFill>
      </fill>
      <border/>
    </dxf>
    <dxf>
      <font>
        <color rgb="FF262626"/>
      </font>
      <fill>
        <patternFill patternType="solid">
          <fgColor rgb="FF280F0E"/>
          <bgColor rgb="FF280F0E"/>
        </patternFill>
      </fill>
      <border/>
    </dxf>
    <dxf>
      <font>
        <color rgb="FF2ED0F1"/>
      </font>
      <fill>
        <patternFill patternType="solid">
          <fgColor rgb="FF280F0E"/>
          <bgColor rgb="FF280F0E"/>
        </patternFill>
      </fill>
      <border/>
    </dxf>
    <dxf>
      <font>
        <color rgb="FFFFFF00"/>
      </font>
      <fill>
        <patternFill patternType="solid">
          <fgColor rgb="FF280F0E"/>
          <bgColor rgb="FF280F0E"/>
        </patternFill>
      </fill>
      <border/>
    </dxf>
    <dxf>
      <font/>
      <fill>
        <patternFill patternType="solid">
          <fgColor rgb="FF434343"/>
          <bgColor rgb="FF434343"/>
        </patternFill>
      </fill>
      <border/>
    </dxf>
    <dxf>
      <font/>
      <fill>
        <patternFill patternType="solid">
          <fgColor rgb="FFB7E1CD"/>
          <bgColor rgb="FFB7E1CD"/>
        </patternFill>
      </fill>
      <border/>
    </dxf>
    <dxf>
      <font>
        <sz val="11.0"/>
        <color rgb="FF595959"/>
        <name val="Liberation sans1"/>
      </font>
      <fill>
        <patternFill patternType="none"/>
      </fill>
      <border/>
    </dxf>
    <dxf>
      <font>
        <color rgb="FF595959"/>
      </font>
      <fill>
        <patternFill patternType="none"/>
      </fill>
      <border/>
    </dxf>
    <dxf>
      <font>
        <sz val="12.0"/>
        <color rgb="FF666666"/>
        <name val="Calibri"/>
      </font>
      <fill>
        <patternFill patternType="none"/>
      </fill>
      <border/>
    </dxf>
    <dxf>
      <font>
        <sz val="14.0"/>
        <color rgb="FF595959"/>
        <name val="Calibri"/>
      </font>
      <fill>
        <patternFill patternType="none"/>
      </fill>
      <border/>
    </dxf>
    <dxf>
      <font>
        <sz val="14.0"/>
        <color rgb="FF666666"/>
        <name val="Calibri"/>
      </font>
      <fill>
        <patternFill patternType="none"/>
      </fill>
      <border/>
    </dxf>
    <dxf>
      <font>
        <sz val="14.0"/>
        <color rgb="FF355269"/>
        <name val="Calibri"/>
      </font>
      <fill>
        <patternFill patternType="none"/>
      </fill>
      <border/>
    </dxf>
    <dxf>
      <font>
        <sz val="11.0"/>
        <color rgb="FF00B0F0"/>
        <name val="Liberation sans1"/>
      </font>
      <fill>
        <patternFill patternType="none"/>
      </fill>
      <border/>
    </dxf>
    <dxf>
      <font>
        <sz val="11.0"/>
        <color rgb="FF9BBB59"/>
        <name val="Liberation sans1"/>
      </font>
      <fill>
        <patternFill patternType="none"/>
      </fill>
      <border/>
    </dxf>
    <dxf>
      <font>
        <sz val="11.0"/>
        <color rgb="FFE46C0A"/>
        <name val="Liberation sans1"/>
      </font>
      <fill>
        <patternFill patternType="none"/>
      </fill>
      <border/>
    </dxf>
    <dxf>
      <font>
        <sz val="11.0"/>
        <color rgb="FFFF0000"/>
        <name val="Liberation sans1"/>
      </font>
      <fill>
        <patternFill patternType="none"/>
      </fill>
      <border/>
    </dxf>
    <dxf>
      <font>
        <sz val="11.0"/>
        <color rgb="FFFFFF00"/>
        <name val="Liberation sans1"/>
      </font>
      <fill>
        <patternFill patternType="none"/>
      </fill>
      <border/>
    </dxf>
    <dxf>
      <font>
        <sz val="11.0"/>
        <color rgb="FF953735"/>
        <name val="Liberation sans1"/>
      </font>
      <fill>
        <patternFill patternType="none"/>
      </fill>
      <border/>
    </dxf>
    <dxf>
      <font>
        <color rgb="FF595959"/>
      </font>
      <fill>
        <patternFill patternType="solid">
          <fgColor rgb="FF262626"/>
          <bgColor rgb="FF262626"/>
        </patternFill>
      </fill>
      <border/>
    </dxf>
    <dxf>
      <font>
        <color rgb="FF666666"/>
      </font>
      <fill>
        <patternFill patternType="solid">
          <fgColor rgb="FF000000"/>
          <bgColor rgb="FF000000"/>
        </patternFill>
      </fill>
      <border/>
    </dxf>
    <dxf>
      <font>
        <sz val="12.0"/>
        <color rgb="FF595959"/>
        <name val="Calibri"/>
      </font>
      <fill>
        <patternFill patternType="none"/>
      </fill>
      <border/>
    </dxf>
    <dxf>
      <font>
        <color rgb="FF595959"/>
      </font>
      <fill>
        <patternFill patternType="solid">
          <fgColor rgb="FF280F0E"/>
          <bgColor rgb="FF280F0E"/>
        </patternFill>
      </fill>
      <border/>
    </dxf>
    <dxf>
      <font>
        <color rgb="FF00B0F0"/>
      </font>
      <fill>
        <patternFill patternType="solid">
          <fgColor rgb="FF000000"/>
          <bgColor rgb="FF000000"/>
        </patternFill>
      </fill>
      <border/>
    </dxf>
    <dxf>
      <font>
        <color rgb="FF595959"/>
      </font>
      <fill>
        <patternFill patternType="solid">
          <fgColor rgb="FF000000"/>
          <bgColor rgb="FF00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pie3DChart>
        <c:varyColors val="1"/>
        <c:ser>
          <c:idx val="0"/>
          <c:order val="0"/>
          <c:dPt>
            <c:idx val="0"/>
            <c:spPr>
              <a:solidFill>
                <a:srgbClr val="FFFF00"/>
              </a:solidFill>
            </c:spPr>
          </c:dPt>
          <c:dPt>
            <c:idx val="1"/>
            <c:spPr>
              <a:solidFill>
                <a:srgbClr val="CC0000"/>
              </a:solidFill>
            </c:spPr>
          </c:dPt>
          <c:dPt>
            <c:idx val="2"/>
            <c:spPr>
              <a:solidFill>
                <a:srgbClr val="00B0F0"/>
              </a:solidFill>
            </c:spPr>
          </c:dPt>
          <c:dPt>
            <c:idx val="3"/>
            <c:spPr>
              <a:solidFill>
                <a:srgbClr val="8E03A3"/>
              </a:solidFill>
            </c:spPr>
          </c:dPt>
          <c:dPt>
            <c:idx val="4"/>
            <c:spPr>
              <a:solidFill>
                <a:srgbClr val="783F04"/>
              </a:solidFill>
            </c:spPr>
          </c:dPt>
          <c:dPt>
            <c:idx val="5"/>
            <c:spPr>
              <a:solidFill>
                <a:srgbClr val="274E13"/>
              </a:solidFill>
            </c:spPr>
          </c:dPt>
          <c:dPt>
            <c:idx val="6"/>
            <c:spPr>
              <a:solidFill>
                <a:schemeClr val="accent1"/>
              </a:solidFill>
            </c:spPr>
          </c:dPt>
          <c:dPt>
            <c:idx val="7"/>
          </c:dPt>
          <c:dPt>
            <c:idx val="8"/>
          </c:dPt>
          <c:dPt>
            <c:idx val="9"/>
          </c:dPt>
          <c:dPt>
            <c:idx val="10"/>
          </c:dPt>
          <c:dPt>
            <c:idx val="11"/>
          </c:dPt>
          <c:dPt>
            <c:idx val="12"/>
          </c:dPt>
          <c:dPt>
            <c:idx val="13"/>
          </c:dPt>
          <c:dPt>
            <c:idx val="14"/>
          </c:dPt>
          <c:dLbls>
            <c:showLegendKey val="0"/>
            <c:showVal val="0"/>
            <c:showCatName val="0"/>
            <c:showSerName val="0"/>
            <c:showPercent val="0"/>
            <c:showBubbleSize val="0"/>
            <c:showLeaderLines val="1"/>
          </c:dLbls>
          <c:cat>
            <c:strRef>
              <c:f>'CONTROLE BMP'!$D$6:$D$21</c:f>
            </c:strRef>
          </c:cat>
          <c:val>
            <c:numRef>
              <c:f>'CONTROLE BMP'!$E$6:$E$20</c:f>
              <c:numCache/>
            </c:numRef>
          </c:val>
        </c:ser>
        <c:dLbls>
          <c:showLegendKey val="0"/>
          <c:showVal val="0"/>
          <c:showCatName val="0"/>
          <c:showSerName val="0"/>
          <c:showPercent val="0"/>
          <c:showBubbleSize val="0"/>
        </c:dLbls>
      </c:pie3DChart>
    </c:plotArea>
    <c:legend>
      <c:legendPos val="t"/>
      <c:overlay val="0"/>
      <c:txPr>
        <a:bodyPr/>
        <a:lstStyle/>
        <a:p>
          <a:pPr lvl="0">
            <a:defRPr b="0" i="0">
              <a:solidFill>
                <a:srgbClr val="FFFFFF"/>
              </a:solidFill>
              <a:latin typeface="Arial"/>
            </a:defRPr>
          </a:pPr>
        </a:p>
      </c:txPr>
    </c:legend>
    <c:plotVisOnly val="1"/>
  </c:chart>
  <c:spPr>
    <a:solidFill>
      <a:srgbClr val="1C1C1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manualLayout>
          <c:xMode val="edge"/>
          <c:yMode val="edge"/>
          <c:x val="0.02461263408820024"/>
          <c:y val="0.1099677158999193"/>
          <c:w val="0.9507747318235996"/>
          <c:h val="0.8376109765940275"/>
        </c:manualLayout>
      </c:layout>
      <c:pie3DChart>
        <c:varyColors val="1"/>
        <c:ser>
          <c:idx val="0"/>
          <c:order val="0"/>
          <c:dPt>
            <c:idx val="0"/>
            <c:spPr>
              <a:solidFill>
                <a:srgbClr val="FFFF00"/>
              </a:solidFill>
            </c:spPr>
          </c:dPt>
          <c:dPt>
            <c:idx val="1"/>
            <c:spPr>
              <a:solidFill>
                <a:srgbClr val="CC0000"/>
              </a:solidFill>
            </c:spPr>
          </c:dPt>
          <c:dPt>
            <c:idx val="2"/>
            <c:spPr>
              <a:solidFill>
                <a:srgbClr val="00B0F0"/>
              </a:solidFill>
            </c:spPr>
          </c:dPt>
          <c:dPt>
            <c:idx val="3"/>
            <c:spPr>
              <a:solidFill>
                <a:srgbClr val="8E03A3"/>
              </a:solidFill>
            </c:spPr>
          </c:dPt>
          <c:dPt>
            <c:idx val="4"/>
            <c:spPr>
              <a:solidFill>
                <a:srgbClr val="783F04"/>
              </a:solidFill>
            </c:spPr>
          </c:dPt>
          <c:dPt>
            <c:idx val="5"/>
            <c:spPr>
              <a:solidFill>
                <a:srgbClr val="274E13"/>
              </a:solidFill>
            </c:spPr>
          </c:dPt>
          <c:dPt>
            <c:idx val="6"/>
            <c:spPr>
              <a:solidFill>
                <a:schemeClr val="accent1"/>
              </a:solidFill>
            </c:spPr>
          </c:dPt>
          <c:dPt>
            <c:idx val="7"/>
          </c:dPt>
          <c:dPt>
            <c:idx val="8"/>
          </c:dPt>
          <c:dPt>
            <c:idx val="9"/>
          </c:dPt>
          <c:dPt>
            <c:idx val="10"/>
          </c:dPt>
          <c:dPt>
            <c:idx val="11"/>
          </c:dPt>
          <c:dPt>
            <c:idx val="12"/>
          </c:dPt>
          <c:dPt>
            <c:idx val="13"/>
          </c:dPt>
          <c:dPt>
            <c:idx val="14"/>
          </c:dPt>
          <c:dLbls>
            <c:showLegendKey val="0"/>
            <c:showVal val="0"/>
            <c:showCatName val="0"/>
            <c:showSerName val="0"/>
            <c:showPercent val="0"/>
            <c:showBubbleSize val="0"/>
            <c:showLeaderLines val="1"/>
          </c:dLbls>
          <c:cat>
            <c:strRef>
              <c:f>'CONTROLE BMP'!$D$6:$D$21</c:f>
            </c:strRef>
          </c:cat>
          <c:val>
            <c:numRef>
              <c:f>'CONTROLE BMP'!$E$6:$E$20</c:f>
              <c:numCache/>
            </c:numRef>
          </c:val>
        </c:ser>
        <c:dLbls>
          <c:showLegendKey val="0"/>
          <c:showVal val="0"/>
          <c:showCatName val="0"/>
          <c:showSerName val="0"/>
          <c:showPercent val="0"/>
          <c:showBubbleSize val="0"/>
        </c:dLbls>
      </c:pie3DChart>
    </c:plotArea>
    <c:legend>
      <c:legendPos val="t"/>
      <c:overlay val="0"/>
      <c:txPr>
        <a:bodyPr/>
        <a:lstStyle/>
        <a:p>
          <a:pPr lvl="0">
            <a:defRPr b="0" i="0">
              <a:solidFill>
                <a:srgbClr val="FFFFFF"/>
              </a:solidFill>
              <a:latin typeface="Arial"/>
            </a:defRPr>
          </a:pPr>
        </a:p>
      </c:txPr>
    </c:legend>
    <c:plotVisOnly val="1"/>
  </c:chart>
  <c:spPr>
    <a:solidFill>
      <a:srgbClr val="1C1C1C"/>
    </a:solidFill>
  </c:spPr>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114300</xdr:colOff>
      <xdr:row>21</xdr:row>
      <xdr:rowOff>19050</xdr:rowOff>
    </xdr:from>
    <xdr:ext cx="4143375" cy="22764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76200</xdr:colOff>
      <xdr:row>0</xdr:row>
      <xdr:rowOff>219075</xdr:rowOff>
    </xdr:from>
    <xdr:ext cx="8467725" cy="3962400"/>
    <xdr:graphicFrame>
      <xdr:nvGraphicFramePr>
        <xdr:cNvPr id="2"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FFFFFF"/>
      </a:dk1>
      <a:lt1>
        <a:srgbClr val="000000"/>
      </a:lt1>
      <a:dk2>
        <a:srgbClr val="FFFFFF"/>
      </a:dk2>
      <a:lt2>
        <a:srgbClr val="000000"/>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liberation sans1"/>
        <a:ea typeface="liberation sans1"/>
        <a:cs typeface="liberation sans1"/>
      </a:majorFont>
      <a:minorFont>
        <a:latin typeface="liberation sans1"/>
        <a:ea typeface="liberation sans1"/>
        <a:cs typeface="liberation sans1"/>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2.5"/>
    <col customWidth="1" min="2" max="2" width="10.38"/>
    <col customWidth="1" min="3" max="3" width="18.13"/>
    <col customWidth="1" min="4" max="4" width="15.75"/>
    <col customWidth="1" min="5" max="5" width="9.75"/>
    <col customWidth="1" min="6" max="6" width="2.0"/>
    <col customWidth="1" min="7" max="7" width="6.38"/>
    <col customWidth="1" min="8" max="8" width="8.38"/>
    <col customWidth="1" min="9" max="9" width="4.0"/>
    <col customWidth="1" min="10" max="10" width="8.38"/>
    <col customWidth="1" min="11" max="11" width="4.0"/>
    <col customWidth="1" min="12" max="12" width="8.38"/>
    <col customWidth="1" min="13" max="13" width="4.0"/>
    <col customWidth="1" min="14" max="14" width="8.75"/>
    <col customWidth="1" min="15" max="15" width="4.0"/>
    <col customWidth="1" min="16" max="16" width="8.75"/>
    <col customWidth="1" min="17" max="17" width="4.0"/>
    <col customWidth="1" min="18" max="18" width="8.75"/>
    <col customWidth="1" min="19" max="19" width="4.0"/>
    <col customWidth="1" min="20" max="20" width="2.0"/>
    <col customWidth="1" min="21" max="21" width="6.75"/>
    <col customWidth="1" min="22" max="22" width="8.63"/>
    <col customWidth="1" min="23" max="23" width="4.0"/>
    <col customWidth="1" min="24" max="24" width="8.63"/>
    <col customWidth="1" min="25" max="25" width="4.0"/>
    <col customWidth="1" min="26" max="26" width="8.38"/>
    <col customWidth="1" min="27" max="27" width="4.0"/>
    <col customWidth="1" min="28" max="28" width="8.75"/>
    <col customWidth="1" min="29" max="29" width="4.0"/>
    <col customWidth="1" min="30" max="30" width="8.75"/>
    <col customWidth="1" min="31" max="31" width="4.0"/>
    <col customWidth="1" min="32" max="32" width="8.75"/>
    <col customWidth="1" min="33" max="33" width="4.0"/>
    <col customWidth="1" min="34" max="34" width="2.75"/>
    <col customWidth="1" min="35" max="35" width="8.38"/>
    <col customWidth="1" min="36" max="36" width="8.13"/>
    <col customWidth="1" min="37" max="37" width="9.13"/>
    <col customWidth="1" min="38" max="38" width="9.88"/>
    <col customWidth="1" min="39" max="39" width="7.88"/>
    <col customWidth="1" min="40" max="40" width="8.0"/>
    <col customWidth="1" min="41" max="41" width="7.88"/>
    <col customWidth="1" min="42" max="42" width="8.25"/>
    <col customWidth="1" min="43" max="43" width="7.88"/>
    <col customWidth="1" min="44" max="44" width="10.75"/>
    <col customWidth="1" min="45" max="45" width="8.13"/>
    <col customWidth="1" min="46" max="47" width="9.13"/>
  </cols>
  <sheetData>
    <row r="1" ht="13.5" customHeight="1">
      <c r="A1" s="1" t="s">
        <v>0</v>
      </c>
      <c r="B1" s="2"/>
      <c r="C1" s="3"/>
      <c r="D1" s="4"/>
      <c r="E1" s="4"/>
      <c r="F1" s="5"/>
      <c r="G1" s="5"/>
      <c r="H1" s="6"/>
      <c r="I1" s="7"/>
      <c r="J1" s="6"/>
      <c r="K1" s="7"/>
      <c r="L1" s="6"/>
      <c r="M1" s="7"/>
      <c r="N1" s="8"/>
      <c r="O1" s="7"/>
      <c r="P1" s="8"/>
      <c r="Q1" s="7"/>
      <c r="R1" s="8"/>
      <c r="S1" s="7"/>
      <c r="T1" s="9"/>
      <c r="U1" s="9"/>
      <c r="V1" s="10"/>
      <c r="W1" s="11"/>
      <c r="X1" s="10"/>
      <c r="Y1" s="11"/>
      <c r="Z1" s="10"/>
      <c r="AA1" s="11"/>
      <c r="AB1" s="10"/>
      <c r="AC1" s="11"/>
      <c r="AD1" s="10"/>
      <c r="AE1" s="11"/>
      <c r="AF1" s="10"/>
      <c r="AG1" s="11"/>
      <c r="AH1" s="12"/>
      <c r="AI1" s="13"/>
      <c r="AJ1" s="14"/>
      <c r="AK1" s="13"/>
      <c r="AL1" s="14"/>
      <c r="AM1" s="13"/>
      <c r="AN1" s="14"/>
      <c r="AO1" s="15"/>
      <c r="AP1" s="14"/>
      <c r="AQ1" s="15"/>
      <c r="AR1" s="16"/>
      <c r="AS1" s="16"/>
      <c r="AT1" s="16"/>
      <c r="AU1" s="16"/>
    </row>
    <row r="2" ht="19.5" customHeight="1">
      <c r="A2" s="17"/>
      <c r="B2" s="18" t="s">
        <v>1</v>
      </c>
      <c r="C2" s="19"/>
      <c r="D2" s="19"/>
      <c r="E2" s="20"/>
      <c r="F2" s="5"/>
      <c r="G2" s="21" t="s">
        <v>2</v>
      </c>
      <c r="H2" s="22" t="s">
        <v>3</v>
      </c>
      <c r="I2" s="20"/>
      <c r="J2" s="22" t="s">
        <v>4</v>
      </c>
      <c r="K2" s="20"/>
      <c r="L2" s="22" t="s">
        <v>5</v>
      </c>
      <c r="M2" s="20"/>
      <c r="N2" s="23" t="s">
        <v>6</v>
      </c>
      <c r="O2" s="20"/>
      <c r="P2" s="23" t="s">
        <v>7</v>
      </c>
      <c r="Q2" s="20"/>
      <c r="R2" s="22" t="s">
        <v>8</v>
      </c>
      <c r="S2" s="20"/>
      <c r="T2" s="9"/>
      <c r="U2" s="24" t="s">
        <v>9</v>
      </c>
      <c r="V2" s="25" t="s">
        <v>3</v>
      </c>
      <c r="W2" s="20"/>
      <c r="X2" s="25" t="s">
        <v>4</v>
      </c>
      <c r="Y2" s="20"/>
      <c r="Z2" s="25" t="s">
        <v>5</v>
      </c>
      <c r="AA2" s="20"/>
      <c r="AB2" s="25" t="s">
        <v>6</v>
      </c>
      <c r="AC2" s="20"/>
      <c r="AD2" s="25" t="s">
        <v>7</v>
      </c>
      <c r="AE2" s="20"/>
      <c r="AF2" s="25" t="s">
        <v>8</v>
      </c>
      <c r="AG2" s="20"/>
      <c r="AH2" s="12"/>
      <c r="AI2" s="26" t="s">
        <v>10</v>
      </c>
      <c r="AJ2" s="27"/>
      <c r="AK2" s="27"/>
      <c r="AL2" s="27"/>
      <c r="AM2" s="27"/>
      <c r="AN2" s="27"/>
      <c r="AO2" s="27"/>
      <c r="AP2" s="27"/>
      <c r="AQ2" s="27"/>
      <c r="AR2" s="27"/>
      <c r="AS2" s="27"/>
      <c r="AT2" s="28"/>
      <c r="AU2" s="16"/>
    </row>
    <row r="3" ht="20.25" customHeight="1">
      <c r="A3" s="29"/>
      <c r="B3" s="30" t="s">
        <v>11</v>
      </c>
      <c r="C3" s="31" t="s">
        <v>12</v>
      </c>
      <c r="D3" s="32" t="s">
        <v>13</v>
      </c>
      <c r="E3" s="32" t="s">
        <v>14</v>
      </c>
      <c r="F3" s="5"/>
      <c r="G3" s="33"/>
      <c r="H3" s="34">
        <f>COUNTIF(H4:H107,"&lt;&gt;")-COUNTIF(H4:H107,"---")</f>
        <v>45</v>
      </c>
      <c r="I3" s="35"/>
      <c r="J3" s="34">
        <f>COUNTIF(J4:J107,"&lt;&gt;")-COUNTIF(J4:J107,"---")</f>
        <v>45</v>
      </c>
      <c r="K3" s="35"/>
      <c r="L3" s="34">
        <f>COUNTIF(L4:L107,"&lt;&gt;")-COUNTIF(L4:L107,"---")</f>
        <v>34</v>
      </c>
      <c r="M3" s="35"/>
      <c r="N3" s="36">
        <f>COUNTIF(N4:N107,"&lt;&gt;")-COUNTIF(N4:N107,"---")</f>
        <v>31</v>
      </c>
      <c r="O3" s="35"/>
      <c r="P3" s="36">
        <f>COUNTIF(P4:P107,"&lt;&gt;")-COUNTIF(P4:P107,"---")</f>
        <v>34</v>
      </c>
      <c r="Q3" s="35"/>
      <c r="R3" s="36">
        <f>COUNTIF(R4:R107,"&lt;&gt;")-COUNTIF(R4:R107,"---")</f>
        <v>35</v>
      </c>
      <c r="S3" s="35"/>
      <c r="T3" s="9"/>
      <c r="U3" s="33"/>
      <c r="V3" s="37">
        <f>COUNTIF(V4:V107,"&lt;&gt;")-COUNTIF(V4:V107,"---")</f>
        <v>25</v>
      </c>
      <c r="W3" s="35"/>
      <c r="X3" s="37">
        <f>COUNTIF(X4:X107,"&lt;&gt;")-COUNTIF(X4:X107,"---")</f>
        <v>26</v>
      </c>
      <c r="Y3" s="35"/>
      <c r="Z3" s="37">
        <f>COUNTIF(Z4:Z107,"&lt;&gt;")-COUNTIF(Z4:Z107,"---")</f>
        <v>36</v>
      </c>
      <c r="AA3" s="35"/>
      <c r="AB3" s="37">
        <f>COUNTIF(AB4:AB107,"&lt;&gt;")-COUNTIF(AB4:AB107,"---")</f>
        <v>37</v>
      </c>
      <c r="AC3" s="35"/>
      <c r="AD3" s="37">
        <f>COUNTIF(AD4:AD107,"&lt;&gt;")-COUNTIF(AD4:AD107,"---")</f>
        <v>34</v>
      </c>
      <c r="AE3" s="35"/>
      <c r="AF3" s="37">
        <f>COUNTIF(AF4:AF107,"&lt;&gt;")-COUNTIF(AF4:AF107,"---")</f>
        <v>32</v>
      </c>
      <c r="AG3" s="35"/>
      <c r="AI3" s="38" t="s">
        <v>3</v>
      </c>
      <c r="AJ3" s="28"/>
      <c r="AK3" s="38" t="s">
        <v>4</v>
      </c>
      <c r="AL3" s="28"/>
      <c r="AM3" s="38" t="s">
        <v>5</v>
      </c>
      <c r="AN3" s="28"/>
      <c r="AO3" s="26" t="s">
        <v>6</v>
      </c>
      <c r="AP3" s="28"/>
      <c r="AQ3" s="26" t="s">
        <v>15</v>
      </c>
      <c r="AR3" s="28"/>
      <c r="AS3" s="26" t="s">
        <v>16</v>
      </c>
      <c r="AT3" s="28"/>
      <c r="AU3" s="16"/>
    </row>
    <row r="4" ht="15.75" customHeight="1">
      <c r="A4" s="39"/>
      <c r="B4" s="40" t="s">
        <v>17</v>
      </c>
      <c r="C4" s="41" t="s">
        <v>18</v>
      </c>
      <c r="D4" s="42" t="s">
        <v>19</v>
      </c>
      <c r="E4" s="43" t="s">
        <v>20</v>
      </c>
      <c r="F4" s="44"/>
      <c r="G4" s="45" t="b">
        <v>1</v>
      </c>
      <c r="H4" s="46" t="s">
        <v>21</v>
      </c>
      <c r="I4" s="47" t="s">
        <v>22</v>
      </c>
      <c r="J4" s="48" t="s">
        <v>21</v>
      </c>
      <c r="K4" s="47" t="s">
        <v>22</v>
      </c>
      <c r="L4" s="49">
        <v>41.0</v>
      </c>
      <c r="M4" s="47" t="s">
        <v>22</v>
      </c>
      <c r="N4" s="49" t="s">
        <v>23</v>
      </c>
      <c r="O4" s="47" t="s">
        <v>22</v>
      </c>
      <c r="P4" s="49" t="s">
        <v>23</v>
      </c>
      <c r="Q4" s="47" t="s">
        <v>22</v>
      </c>
      <c r="R4" s="49" t="s">
        <v>23</v>
      </c>
      <c r="S4" s="47" t="s">
        <v>22</v>
      </c>
      <c r="T4" s="50"/>
      <c r="U4" s="51" t="b">
        <v>0</v>
      </c>
      <c r="V4" s="52" t="s">
        <v>24</v>
      </c>
      <c r="W4" s="53"/>
      <c r="X4" s="52" t="s">
        <v>24</v>
      </c>
      <c r="Y4" s="53"/>
      <c r="Z4" s="49" t="s">
        <v>24</v>
      </c>
      <c r="AA4" s="53"/>
      <c r="AB4" s="49" t="s">
        <v>24</v>
      </c>
      <c r="AC4" s="53"/>
      <c r="AD4" s="49" t="s">
        <v>24</v>
      </c>
      <c r="AE4" s="53"/>
      <c r="AF4" s="49" t="s">
        <v>24</v>
      </c>
      <c r="AG4" s="54"/>
      <c r="AH4" s="55"/>
      <c r="AI4" s="56" t="s">
        <v>25</v>
      </c>
      <c r="AJ4" s="57"/>
      <c r="AK4" s="56" t="s">
        <v>25</v>
      </c>
      <c r="AL4" s="57"/>
      <c r="AM4" s="56" t="s">
        <v>25</v>
      </c>
      <c r="AN4" s="57"/>
      <c r="AO4" s="56" t="s">
        <v>25</v>
      </c>
      <c r="AP4" s="57"/>
      <c r="AQ4" s="56" t="s">
        <v>25</v>
      </c>
      <c r="AR4" s="57"/>
      <c r="AS4" s="56" t="s">
        <v>25</v>
      </c>
      <c r="AT4" s="57"/>
      <c r="AU4" s="16"/>
    </row>
    <row r="5" ht="15.75" customHeight="1">
      <c r="A5" s="39"/>
      <c r="B5" s="58" t="s">
        <v>17</v>
      </c>
      <c r="C5" s="59" t="s">
        <v>26</v>
      </c>
      <c r="D5" s="60" t="s">
        <v>19</v>
      </c>
      <c r="E5" s="61" t="s">
        <v>27</v>
      </c>
      <c r="F5" s="62"/>
      <c r="G5" s="63" t="b">
        <v>1</v>
      </c>
      <c r="H5" s="64" t="s">
        <v>28</v>
      </c>
      <c r="I5" s="47" t="s">
        <v>29</v>
      </c>
      <c r="J5" s="65" t="s">
        <v>28</v>
      </c>
      <c r="K5" s="47" t="s">
        <v>29</v>
      </c>
      <c r="L5" s="66">
        <v>40.0</v>
      </c>
      <c r="M5" s="47" t="s">
        <v>29</v>
      </c>
      <c r="N5" s="66" t="s">
        <v>23</v>
      </c>
      <c r="O5" s="47" t="s">
        <v>29</v>
      </c>
      <c r="P5" s="66" t="s">
        <v>23</v>
      </c>
      <c r="Q5" s="47" t="s">
        <v>29</v>
      </c>
      <c r="R5" s="66" t="s">
        <v>23</v>
      </c>
      <c r="S5" s="47" t="s">
        <v>29</v>
      </c>
      <c r="T5" s="67"/>
      <c r="U5" s="68" t="b">
        <v>0</v>
      </c>
      <c r="V5" s="69" t="s">
        <v>24</v>
      </c>
      <c r="W5" s="54"/>
      <c r="X5" s="69" t="s">
        <v>24</v>
      </c>
      <c r="Y5" s="54"/>
      <c r="Z5" s="66" t="s">
        <v>24</v>
      </c>
      <c r="AA5" s="54"/>
      <c r="AB5" s="66" t="s">
        <v>24</v>
      </c>
      <c r="AC5" s="54"/>
      <c r="AD5" s="66" t="s">
        <v>24</v>
      </c>
      <c r="AE5" s="54"/>
      <c r="AF5" s="66" t="s">
        <v>24</v>
      </c>
      <c r="AG5" s="54"/>
      <c r="AH5" s="55"/>
      <c r="AI5" s="56" t="s">
        <v>30</v>
      </c>
      <c r="AJ5" s="57"/>
      <c r="AK5" s="56" t="s">
        <v>30</v>
      </c>
      <c r="AL5" s="57"/>
      <c r="AM5" s="56" t="s">
        <v>30</v>
      </c>
      <c r="AN5" s="57"/>
      <c r="AO5" s="56" t="s">
        <v>30</v>
      </c>
      <c r="AP5" s="57"/>
      <c r="AQ5" s="56" t="s">
        <v>30</v>
      </c>
      <c r="AR5" s="57"/>
      <c r="AS5" s="56" t="s">
        <v>30</v>
      </c>
      <c r="AT5" s="57"/>
      <c r="AU5" s="16"/>
    </row>
    <row r="6" ht="15.75" customHeight="1">
      <c r="A6" s="39"/>
      <c r="B6" s="58" t="s">
        <v>17</v>
      </c>
      <c r="C6" s="59" t="s">
        <v>31</v>
      </c>
      <c r="D6" s="60" t="s">
        <v>19</v>
      </c>
      <c r="E6" s="61" t="s">
        <v>32</v>
      </c>
      <c r="F6" s="62"/>
      <c r="G6" s="63" t="b">
        <v>1</v>
      </c>
      <c r="H6" s="69" t="s">
        <v>33</v>
      </c>
      <c r="I6" s="47" t="s">
        <v>34</v>
      </c>
      <c r="J6" s="69" t="s">
        <v>33</v>
      </c>
      <c r="K6" s="47" t="s">
        <v>34</v>
      </c>
      <c r="L6" s="66">
        <v>42.0</v>
      </c>
      <c r="M6" s="47" t="s">
        <v>34</v>
      </c>
      <c r="N6" s="66" t="s">
        <v>23</v>
      </c>
      <c r="O6" s="47" t="s">
        <v>34</v>
      </c>
      <c r="P6" s="66" t="s">
        <v>23</v>
      </c>
      <c r="Q6" s="47" t="s">
        <v>34</v>
      </c>
      <c r="R6" s="66" t="s">
        <v>23</v>
      </c>
      <c r="S6" s="47" t="s">
        <v>34</v>
      </c>
      <c r="T6" s="67"/>
      <c r="U6" s="68" t="b">
        <v>0</v>
      </c>
      <c r="V6" s="69" t="s">
        <v>24</v>
      </c>
      <c r="W6" s="54"/>
      <c r="X6" s="69" t="s">
        <v>24</v>
      </c>
      <c r="Y6" s="54"/>
      <c r="Z6" s="66" t="s">
        <v>24</v>
      </c>
      <c r="AA6" s="54"/>
      <c r="AB6" s="66" t="s">
        <v>24</v>
      </c>
      <c r="AC6" s="54"/>
      <c r="AD6" s="66" t="s">
        <v>24</v>
      </c>
      <c r="AE6" s="54"/>
      <c r="AF6" s="66" t="s">
        <v>24</v>
      </c>
      <c r="AG6" s="54"/>
      <c r="AH6" s="55"/>
      <c r="AI6" s="70" t="s">
        <v>35</v>
      </c>
      <c r="AJ6" s="71">
        <f>H3</f>
        <v>45</v>
      </c>
      <c r="AK6" s="70" t="s">
        <v>35</v>
      </c>
      <c r="AL6" s="71">
        <f>J3</f>
        <v>45</v>
      </c>
      <c r="AM6" s="70" t="s">
        <v>35</v>
      </c>
      <c r="AN6" s="71">
        <f>L3</f>
        <v>34</v>
      </c>
      <c r="AO6" s="70" t="s">
        <v>35</v>
      </c>
      <c r="AP6" s="71">
        <f>N3</f>
        <v>31</v>
      </c>
      <c r="AQ6" s="70" t="s">
        <v>35</v>
      </c>
      <c r="AR6" s="71">
        <f>P3</f>
        <v>34</v>
      </c>
      <c r="AS6" s="70" t="s">
        <v>35</v>
      </c>
      <c r="AT6" s="71">
        <f>R3</f>
        <v>35</v>
      </c>
      <c r="AU6" s="16"/>
    </row>
    <row r="7" ht="15.75" customHeight="1">
      <c r="A7" s="39"/>
      <c r="B7" s="72" t="s">
        <v>17</v>
      </c>
      <c r="C7" s="59" t="s">
        <v>36</v>
      </c>
      <c r="D7" s="60" t="s">
        <v>19</v>
      </c>
      <c r="E7" s="61" t="s">
        <v>37</v>
      </c>
      <c r="F7" s="62"/>
      <c r="G7" s="63" t="b">
        <v>0</v>
      </c>
      <c r="H7" s="69" t="s">
        <v>24</v>
      </c>
      <c r="I7" s="47"/>
      <c r="J7" s="69" t="s">
        <v>24</v>
      </c>
      <c r="K7" s="47"/>
      <c r="L7" s="66" t="s">
        <v>24</v>
      </c>
      <c r="M7" s="47"/>
      <c r="N7" s="66" t="s">
        <v>24</v>
      </c>
      <c r="O7" s="47"/>
      <c r="P7" s="66" t="s">
        <v>24</v>
      </c>
      <c r="Q7" s="47"/>
      <c r="R7" s="66" t="s">
        <v>24</v>
      </c>
      <c r="S7" s="47"/>
      <c r="T7" s="67"/>
      <c r="U7" s="68" t="b">
        <v>1</v>
      </c>
      <c r="V7" s="69" t="s">
        <v>38</v>
      </c>
      <c r="W7" s="54" t="s">
        <v>39</v>
      </c>
      <c r="X7" s="69" t="s">
        <v>40</v>
      </c>
      <c r="Y7" s="54" t="s">
        <v>39</v>
      </c>
      <c r="Z7" s="66">
        <v>44.0</v>
      </c>
      <c r="AA7" s="54" t="s">
        <v>39</v>
      </c>
      <c r="AB7" s="66" t="s">
        <v>23</v>
      </c>
      <c r="AC7" s="54" t="s">
        <v>39</v>
      </c>
      <c r="AD7" s="66" t="s">
        <v>23</v>
      </c>
      <c r="AE7" s="54" t="s">
        <v>39</v>
      </c>
      <c r="AF7" s="66" t="s">
        <v>23</v>
      </c>
      <c r="AG7" s="54" t="s">
        <v>39</v>
      </c>
      <c r="AH7" s="55"/>
      <c r="AI7" s="73" t="s">
        <v>28</v>
      </c>
      <c r="AJ7" s="74">
        <f>COUNTIF(H4:H108,"P")</f>
        <v>8</v>
      </c>
      <c r="AK7" s="73" t="s">
        <v>28</v>
      </c>
      <c r="AL7" s="75">
        <f>COUNTIF(J4:J108,"P")</f>
        <v>6</v>
      </c>
      <c r="AM7" s="76">
        <v>39.0</v>
      </c>
      <c r="AN7" s="75">
        <f>COUNTIF(L4:L108,"39")</f>
        <v>4</v>
      </c>
      <c r="AO7" s="77"/>
      <c r="AP7" s="78"/>
      <c r="AQ7" s="77"/>
      <c r="AR7" s="78"/>
      <c r="AS7" s="77"/>
      <c r="AT7" s="78"/>
      <c r="AU7" s="16"/>
    </row>
    <row r="8" ht="15.75" customHeight="1">
      <c r="A8" s="39"/>
      <c r="B8" s="58" t="s">
        <v>17</v>
      </c>
      <c r="C8" s="59" t="s">
        <v>41</v>
      </c>
      <c r="D8" s="60" t="s">
        <v>19</v>
      </c>
      <c r="E8" s="61" t="s">
        <v>42</v>
      </c>
      <c r="F8" s="62"/>
      <c r="G8" s="63" t="b">
        <v>1</v>
      </c>
      <c r="H8" s="69" t="s">
        <v>33</v>
      </c>
      <c r="I8" s="47" t="s">
        <v>43</v>
      </c>
      <c r="J8" s="69" t="s">
        <v>33</v>
      </c>
      <c r="K8" s="47" t="s">
        <v>43</v>
      </c>
      <c r="L8" s="66">
        <v>41.0</v>
      </c>
      <c r="M8" s="47" t="s">
        <v>43</v>
      </c>
      <c r="N8" s="66" t="s">
        <v>23</v>
      </c>
      <c r="O8" s="47" t="s">
        <v>43</v>
      </c>
      <c r="P8" s="66" t="s">
        <v>23</v>
      </c>
      <c r="Q8" s="47" t="s">
        <v>43</v>
      </c>
      <c r="R8" s="66" t="s">
        <v>23</v>
      </c>
      <c r="S8" s="47" t="s">
        <v>43</v>
      </c>
      <c r="T8" s="67"/>
      <c r="U8" s="68" t="b">
        <v>0</v>
      </c>
      <c r="V8" s="69" t="s">
        <v>24</v>
      </c>
      <c r="W8" s="54"/>
      <c r="X8" s="69" t="s">
        <v>24</v>
      </c>
      <c r="Y8" s="54"/>
      <c r="Z8" s="66" t="s">
        <v>24</v>
      </c>
      <c r="AA8" s="54"/>
      <c r="AB8" s="66" t="s">
        <v>24</v>
      </c>
      <c r="AC8" s="54"/>
      <c r="AD8" s="66" t="s">
        <v>24</v>
      </c>
      <c r="AE8" s="54"/>
      <c r="AF8" s="66" t="s">
        <v>24</v>
      </c>
      <c r="AG8" s="54"/>
      <c r="AH8" s="55"/>
      <c r="AI8" s="73" t="s">
        <v>33</v>
      </c>
      <c r="AJ8" s="74">
        <f>COUNTIF(H4:H108,"M")</f>
        <v>25</v>
      </c>
      <c r="AK8" s="73" t="s">
        <v>33</v>
      </c>
      <c r="AL8" s="75">
        <f>COUNTIF(J4:J108,"M")</f>
        <v>28</v>
      </c>
      <c r="AM8" s="79">
        <v>40.0</v>
      </c>
      <c r="AN8" s="75">
        <f>COUNTIF(L4:L108,"40")</f>
        <v>2</v>
      </c>
      <c r="AO8" s="77"/>
      <c r="AP8" s="78"/>
      <c r="AQ8" s="77"/>
      <c r="AR8" s="78"/>
      <c r="AS8" s="77"/>
      <c r="AT8" s="78"/>
      <c r="AU8" s="16"/>
    </row>
    <row r="9" ht="15.75" customHeight="1">
      <c r="A9" s="39"/>
      <c r="B9" s="58" t="s">
        <v>17</v>
      </c>
      <c r="C9" s="59" t="s">
        <v>44</v>
      </c>
      <c r="D9" s="60" t="s">
        <v>19</v>
      </c>
      <c r="E9" s="61" t="s">
        <v>45</v>
      </c>
      <c r="F9" s="62"/>
      <c r="G9" s="63" t="b">
        <v>1</v>
      </c>
      <c r="H9" s="69" t="s">
        <v>40</v>
      </c>
      <c r="I9" s="47" t="s">
        <v>46</v>
      </c>
      <c r="J9" s="69" t="s">
        <v>40</v>
      </c>
      <c r="K9" s="47" t="s">
        <v>46</v>
      </c>
      <c r="L9" s="66">
        <v>46.0</v>
      </c>
      <c r="M9" s="47" t="s">
        <v>46</v>
      </c>
      <c r="N9" s="66" t="s">
        <v>24</v>
      </c>
      <c r="O9" s="47"/>
      <c r="P9" s="66" t="s">
        <v>23</v>
      </c>
      <c r="Q9" s="47" t="s">
        <v>46</v>
      </c>
      <c r="R9" s="66" t="s">
        <v>23</v>
      </c>
      <c r="S9" s="47" t="s">
        <v>46</v>
      </c>
      <c r="T9" s="67"/>
      <c r="U9" s="68" t="b">
        <v>1</v>
      </c>
      <c r="V9" s="69" t="s">
        <v>24</v>
      </c>
      <c r="W9" s="54"/>
      <c r="X9" s="69" t="s">
        <v>24</v>
      </c>
      <c r="Y9" s="54"/>
      <c r="Z9" s="66" t="s">
        <v>24</v>
      </c>
      <c r="AA9" s="54"/>
      <c r="AB9" s="66" t="s">
        <v>23</v>
      </c>
      <c r="AC9" s="54" t="s">
        <v>47</v>
      </c>
      <c r="AD9" s="66" t="s">
        <v>24</v>
      </c>
      <c r="AE9" s="54"/>
      <c r="AF9" s="66" t="s">
        <v>24</v>
      </c>
      <c r="AG9" s="54"/>
      <c r="AH9" s="55"/>
      <c r="AI9" s="73" t="s">
        <v>21</v>
      </c>
      <c r="AJ9" s="74">
        <f>COUNTIF(H4:H108,"G")</f>
        <v>9</v>
      </c>
      <c r="AK9" s="73" t="s">
        <v>21</v>
      </c>
      <c r="AL9" s="75">
        <f>COUNTIF(J4:J108,"G")</f>
        <v>9</v>
      </c>
      <c r="AM9" s="79">
        <v>41.0</v>
      </c>
      <c r="AN9" s="75">
        <f>COUNTIF(L4:L108,"41")</f>
        <v>5</v>
      </c>
      <c r="AO9" s="77"/>
      <c r="AP9" s="78"/>
      <c r="AQ9" s="77"/>
      <c r="AR9" s="77"/>
      <c r="AS9" s="77"/>
      <c r="AT9" s="78"/>
      <c r="AU9" s="16"/>
    </row>
    <row r="10" ht="15.75" customHeight="1">
      <c r="A10" s="39"/>
      <c r="B10" s="58" t="s">
        <v>17</v>
      </c>
      <c r="C10" s="59" t="s">
        <v>48</v>
      </c>
      <c r="D10" s="60" t="s">
        <v>19</v>
      </c>
      <c r="E10" s="61" t="s">
        <v>49</v>
      </c>
      <c r="F10" s="62"/>
      <c r="G10" s="63" t="b">
        <v>1</v>
      </c>
      <c r="H10" s="69" t="s">
        <v>28</v>
      </c>
      <c r="I10" s="47" t="s">
        <v>50</v>
      </c>
      <c r="J10" s="69" t="s">
        <v>33</v>
      </c>
      <c r="K10" s="47" t="s">
        <v>50</v>
      </c>
      <c r="L10" s="66">
        <v>39.0</v>
      </c>
      <c r="M10" s="47" t="s">
        <v>50</v>
      </c>
      <c r="N10" s="66" t="s">
        <v>23</v>
      </c>
      <c r="O10" s="47" t="s">
        <v>50</v>
      </c>
      <c r="P10" s="66" t="s">
        <v>23</v>
      </c>
      <c r="Q10" s="47" t="s">
        <v>50</v>
      </c>
      <c r="R10" s="66" t="s">
        <v>23</v>
      </c>
      <c r="S10" s="47" t="s">
        <v>50</v>
      </c>
      <c r="T10" s="67"/>
      <c r="U10" s="68" t="b">
        <v>0</v>
      </c>
      <c r="V10" s="69" t="s">
        <v>24</v>
      </c>
      <c r="W10" s="54"/>
      <c r="X10" s="69" t="s">
        <v>24</v>
      </c>
      <c r="Y10" s="54"/>
      <c r="Z10" s="66" t="s">
        <v>24</v>
      </c>
      <c r="AA10" s="54"/>
      <c r="AB10" s="66" t="s">
        <v>24</v>
      </c>
      <c r="AC10" s="54"/>
      <c r="AD10" s="66" t="s">
        <v>24</v>
      </c>
      <c r="AE10" s="54"/>
      <c r="AF10" s="66" t="s">
        <v>24</v>
      </c>
      <c r="AG10" s="54"/>
      <c r="AH10" s="55"/>
      <c r="AI10" s="73" t="s">
        <v>51</v>
      </c>
      <c r="AJ10" s="74">
        <f>COUNTIF(H4:H108,"GG")</f>
        <v>1</v>
      </c>
      <c r="AK10" s="73" t="s">
        <v>51</v>
      </c>
      <c r="AL10" s="75">
        <f>COUNTIF(J4:J108,"GG")</f>
        <v>0</v>
      </c>
      <c r="AM10" s="79">
        <v>42.0</v>
      </c>
      <c r="AN10" s="75">
        <f>COUNTIF(L4:L108,"42")</f>
        <v>9</v>
      </c>
      <c r="AO10" s="77"/>
      <c r="AP10" s="78"/>
      <c r="AQ10" s="77"/>
      <c r="AR10" s="78"/>
      <c r="AS10" s="77"/>
      <c r="AT10" s="78"/>
      <c r="AU10" s="16"/>
    </row>
    <row r="11" ht="15.75" customHeight="1">
      <c r="A11" s="39"/>
      <c r="B11" s="58" t="s">
        <v>17</v>
      </c>
      <c r="C11" s="59" t="s">
        <v>52</v>
      </c>
      <c r="D11" s="60" t="s">
        <v>19</v>
      </c>
      <c r="E11" s="61" t="s">
        <v>53</v>
      </c>
      <c r="F11" s="62"/>
      <c r="G11" s="63" t="b">
        <v>1</v>
      </c>
      <c r="H11" s="69" t="s">
        <v>33</v>
      </c>
      <c r="I11" s="47" t="s">
        <v>54</v>
      </c>
      <c r="J11" s="69" t="s">
        <v>33</v>
      </c>
      <c r="K11" s="47" t="s">
        <v>54</v>
      </c>
      <c r="L11" s="66">
        <v>39.0</v>
      </c>
      <c r="M11" s="47" t="s">
        <v>54</v>
      </c>
      <c r="N11" s="66" t="s">
        <v>23</v>
      </c>
      <c r="O11" s="47" t="s">
        <v>54</v>
      </c>
      <c r="P11" s="66" t="s">
        <v>23</v>
      </c>
      <c r="Q11" s="47" t="s">
        <v>54</v>
      </c>
      <c r="R11" s="66" t="s">
        <v>23</v>
      </c>
      <c r="S11" s="47" t="s">
        <v>54</v>
      </c>
      <c r="T11" s="67"/>
      <c r="U11" s="68" t="b">
        <v>0</v>
      </c>
      <c r="V11" s="69" t="s">
        <v>24</v>
      </c>
      <c r="W11" s="54"/>
      <c r="X11" s="69" t="s">
        <v>24</v>
      </c>
      <c r="Y11" s="54"/>
      <c r="Z11" s="66" t="s">
        <v>24</v>
      </c>
      <c r="AA11" s="54"/>
      <c r="AB11" s="66" t="s">
        <v>24</v>
      </c>
      <c r="AC11" s="54"/>
      <c r="AD11" s="66" t="s">
        <v>24</v>
      </c>
      <c r="AE11" s="54"/>
      <c r="AF11" s="66" t="s">
        <v>24</v>
      </c>
      <c r="AG11" s="54"/>
      <c r="AH11" s="55"/>
      <c r="AI11" s="73" t="s">
        <v>38</v>
      </c>
      <c r="AJ11" s="74">
        <f>COUNTIF(H4:H108,"EG")</f>
        <v>0</v>
      </c>
      <c r="AK11" s="73" t="s">
        <v>38</v>
      </c>
      <c r="AL11" s="75">
        <f>COUNTIF(J4:J108,"EG")</f>
        <v>0</v>
      </c>
      <c r="AM11" s="79">
        <v>43.0</v>
      </c>
      <c r="AN11" s="75">
        <f>COUNTIF(L4:L108,"43")</f>
        <v>3</v>
      </c>
      <c r="AO11" s="77"/>
      <c r="AP11" s="78"/>
      <c r="AQ11" s="77"/>
      <c r="AR11" s="78"/>
      <c r="AS11" s="77"/>
      <c r="AT11" s="78"/>
      <c r="AU11" s="16"/>
    </row>
    <row r="12" ht="15.75" customHeight="1">
      <c r="A12" s="39"/>
      <c r="B12" s="58" t="s">
        <v>17</v>
      </c>
      <c r="C12" s="59" t="s">
        <v>55</v>
      </c>
      <c r="D12" s="60" t="s">
        <v>19</v>
      </c>
      <c r="E12" s="61" t="s">
        <v>56</v>
      </c>
      <c r="F12" s="62"/>
      <c r="G12" s="63" t="b">
        <v>1</v>
      </c>
      <c r="H12" s="69" t="s">
        <v>40</v>
      </c>
      <c r="I12" s="47" t="s">
        <v>57</v>
      </c>
      <c r="J12" s="69" t="s">
        <v>40</v>
      </c>
      <c r="K12" s="47" t="s">
        <v>57</v>
      </c>
      <c r="L12" s="66">
        <v>46.0</v>
      </c>
      <c r="M12" s="47" t="s">
        <v>57</v>
      </c>
      <c r="N12" s="66" t="s">
        <v>23</v>
      </c>
      <c r="O12" s="47" t="s">
        <v>57</v>
      </c>
      <c r="P12" s="66" t="s">
        <v>23</v>
      </c>
      <c r="Q12" s="47" t="s">
        <v>57</v>
      </c>
      <c r="R12" s="66" t="s">
        <v>23</v>
      </c>
      <c r="S12" s="47" t="s">
        <v>57</v>
      </c>
      <c r="T12" s="67"/>
      <c r="U12" s="68" t="b">
        <v>0</v>
      </c>
      <c r="V12" s="69" t="s">
        <v>24</v>
      </c>
      <c r="W12" s="54"/>
      <c r="X12" s="69" t="s">
        <v>24</v>
      </c>
      <c r="Y12" s="54"/>
      <c r="Z12" s="66" t="s">
        <v>24</v>
      </c>
      <c r="AA12" s="54"/>
      <c r="AB12" s="66" t="s">
        <v>24</v>
      </c>
      <c r="AC12" s="54"/>
      <c r="AD12" s="66" t="s">
        <v>24</v>
      </c>
      <c r="AE12" s="54"/>
      <c r="AF12" s="66" t="s">
        <v>24</v>
      </c>
      <c r="AG12" s="54"/>
      <c r="AH12" s="55"/>
      <c r="AI12" s="80" t="s">
        <v>40</v>
      </c>
      <c r="AJ12" s="74">
        <f>COUNTIF(H4:H108,"XL")</f>
        <v>2</v>
      </c>
      <c r="AK12" s="80" t="s">
        <v>40</v>
      </c>
      <c r="AL12" s="81">
        <f>COUNTIF(J4:J108,"XL")</f>
        <v>2</v>
      </c>
      <c r="AM12" s="79">
        <v>44.0</v>
      </c>
      <c r="AN12" s="75">
        <f>COUNTIF(L4:L108,"44")</f>
        <v>8</v>
      </c>
      <c r="AO12" s="77"/>
      <c r="AP12" s="78"/>
      <c r="AQ12" s="77"/>
      <c r="AR12" s="78"/>
      <c r="AS12" s="77"/>
      <c r="AT12" s="78"/>
      <c r="AU12" s="16"/>
    </row>
    <row r="13" ht="15.75" customHeight="1">
      <c r="A13" s="39"/>
      <c r="B13" s="58" t="s">
        <v>17</v>
      </c>
      <c r="C13" s="59" t="s">
        <v>58</v>
      </c>
      <c r="D13" s="60" t="s">
        <v>19</v>
      </c>
      <c r="E13" s="61" t="s">
        <v>59</v>
      </c>
      <c r="F13" s="62"/>
      <c r="G13" s="63" t="b">
        <v>1</v>
      </c>
      <c r="H13" s="69" t="s">
        <v>28</v>
      </c>
      <c r="I13" s="47" t="s">
        <v>60</v>
      </c>
      <c r="J13" s="69" t="s">
        <v>33</v>
      </c>
      <c r="K13" s="47" t="s">
        <v>60</v>
      </c>
      <c r="L13" s="66">
        <v>39.0</v>
      </c>
      <c r="M13" s="47" t="s">
        <v>60</v>
      </c>
      <c r="N13" s="66" t="s">
        <v>23</v>
      </c>
      <c r="O13" s="47" t="s">
        <v>60</v>
      </c>
      <c r="P13" s="66" t="s">
        <v>23</v>
      </c>
      <c r="Q13" s="47" t="s">
        <v>60</v>
      </c>
      <c r="R13" s="66" t="s">
        <v>23</v>
      </c>
      <c r="S13" s="47" t="s">
        <v>60</v>
      </c>
      <c r="T13" s="67"/>
      <c r="U13" s="68" t="b">
        <v>0</v>
      </c>
      <c r="V13" s="69" t="s">
        <v>24</v>
      </c>
      <c r="W13" s="54"/>
      <c r="X13" s="69" t="s">
        <v>24</v>
      </c>
      <c r="Y13" s="54"/>
      <c r="Z13" s="66" t="s">
        <v>24</v>
      </c>
      <c r="AA13" s="54"/>
      <c r="AB13" s="66" t="s">
        <v>24</v>
      </c>
      <c r="AC13" s="54"/>
      <c r="AD13" s="66" t="s">
        <v>24</v>
      </c>
      <c r="AE13" s="54"/>
      <c r="AF13" s="66" t="s">
        <v>24</v>
      </c>
      <c r="AG13" s="54"/>
      <c r="AH13" s="55"/>
      <c r="AI13" s="82"/>
      <c r="AJ13" s="83"/>
      <c r="AK13" s="82"/>
      <c r="AL13" s="83"/>
      <c r="AM13" s="79">
        <v>45.0</v>
      </c>
      <c r="AN13" s="75">
        <f>COUNTIF(L4:L108,"45")</f>
        <v>1</v>
      </c>
      <c r="AO13" s="84"/>
      <c r="AP13" s="85"/>
      <c r="AQ13" s="84"/>
      <c r="AR13" s="85"/>
      <c r="AS13" s="84"/>
      <c r="AT13" s="85"/>
      <c r="AU13" s="16"/>
    </row>
    <row r="14" ht="15.75" customHeight="1">
      <c r="A14" s="39"/>
      <c r="B14" s="58" t="s">
        <v>17</v>
      </c>
      <c r="C14" s="59" t="s">
        <v>61</v>
      </c>
      <c r="D14" s="60" t="s">
        <v>62</v>
      </c>
      <c r="E14" s="61" t="s">
        <v>63</v>
      </c>
      <c r="F14" s="62"/>
      <c r="G14" s="63" t="b">
        <v>0</v>
      </c>
      <c r="H14" s="69" t="s">
        <v>24</v>
      </c>
      <c r="I14" s="47"/>
      <c r="J14" s="69" t="s">
        <v>24</v>
      </c>
      <c r="K14" s="47"/>
      <c r="L14" s="66" t="s">
        <v>24</v>
      </c>
      <c r="M14" s="47"/>
      <c r="N14" s="66" t="s">
        <v>24</v>
      </c>
      <c r="O14" s="47"/>
      <c r="P14" s="66" t="s">
        <v>24</v>
      </c>
      <c r="Q14" s="47"/>
      <c r="R14" s="66" t="s">
        <v>24</v>
      </c>
      <c r="S14" s="86"/>
      <c r="T14" s="67"/>
      <c r="U14" s="68" t="b">
        <v>0</v>
      </c>
      <c r="V14" s="69" t="s">
        <v>24</v>
      </c>
      <c r="W14" s="54"/>
      <c r="X14" s="69" t="s">
        <v>24</v>
      </c>
      <c r="Y14" s="54"/>
      <c r="Z14" s="66" t="s">
        <v>24</v>
      </c>
      <c r="AA14" s="54"/>
      <c r="AB14" s="66" t="s">
        <v>24</v>
      </c>
      <c r="AC14" s="54"/>
      <c r="AD14" s="66" t="s">
        <v>24</v>
      </c>
      <c r="AE14" s="54"/>
      <c r="AF14" s="66" t="s">
        <v>24</v>
      </c>
      <c r="AG14" s="54"/>
      <c r="AH14" s="55"/>
      <c r="AI14" s="82"/>
      <c r="AJ14" s="83"/>
      <c r="AK14" s="82"/>
      <c r="AL14" s="83"/>
      <c r="AM14" s="87">
        <v>46.0</v>
      </c>
      <c r="AN14" s="88">
        <f>COUNTIF(L4:L108,"46")</f>
        <v>2</v>
      </c>
      <c r="AO14" s="84"/>
      <c r="AP14" s="85"/>
      <c r="AQ14" s="84"/>
      <c r="AR14" s="85"/>
      <c r="AS14" s="84"/>
      <c r="AT14" s="85"/>
      <c r="AU14" s="16"/>
    </row>
    <row r="15" ht="15.75" customHeight="1">
      <c r="A15" s="39"/>
      <c r="B15" s="58" t="s">
        <v>17</v>
      </c>
      <c r="C15" s="59" t="s">
        <v>64</v>
      </c>
      <c r="D15" s="60" t="s">
        <v>19</v>
      </c>
      <c r="E15" s="61">
        <v>7246242.0</v>
      </c>
      <c r="F15" s="62"/>
      <c r="G15" s="63" t="b">
        <v>1</v>
      </c>
      <c r="H15" s="69" t="s">
        <v>33</v>
      </c>
      <c r="I15" s="47" t="s">
        <v>65</v>
      </c>
      <c r="J15" s="69" t="s">
        <v>33</v>
      </c>
      <c r="K15" s="47" t="s">
        <v>65</v>
      </c>
      <c r="L15" s="66">
        <v>41.0</v>
      </c>
      <c r="M15" s="47" t="s">
        <v>65</v>
      </c>
      <c r="N15" s="66" t="s">
        <v>23</v>
      </c>
      <c r="O15" s="47" t="s">
        <v>65</v>
      </c>
      <c r="P15" s="66" t="s">
        <v>23</v>
      </c>
      <c r="Q15" s="47" t="s">
        <v>65</v>
      </c>
      <c r="R15" s="66" t="s">
        <v>23</v>
      </c>
      <c r="S15" s="47" t="s">
        <v>65</v>
      </c>
      <c r="T15" s="67"/>
      <c r="U15" s="68" t="b">
        <v>0</v>
      </c>
      <c r="V15" s="69" t="s">
        <v>24</v>
      </c>
      <c r="W15" s="54"/>
      <c r="X15" s="69" t="s">
        <v>24</v>
      </c>
      <c r="Y15" s="54"/>
      <c r="Z15" s="66" t="s">
        <v>24</v>
      </c>
      <c r="AA15" s="54"/>
      <c r="AB15" s="66" t="s">
        <v>24</v>
      </c>
      <c r="AC15" s="54"/>
      <c r="AD15" s="66" t="s">
        <v>24</v>
      </c>
      <c r="AE15" s="54"/>
      <c r="AF15" s="66" t="s">
        <v>24</v>
      </c>
      <c r="AG15" s="54"/>
      <c r="AH15" s="55"/>
      <c r="AI15" s="89"/>
      <c r="AJ15" s="89"/>
      <c r="AK15" s="89"/>
      <c r="AL15" s="89"/>
      <c r="AM15" s="89"/>
      <c r="AN15" s="89"/>
      <c r="AO15" s="89"/>
      <c r="AP15" s="89"/>
      <c r="AQ15" s="89"/>
      <c r="AR15" s="89"/>
      <c r="AS15" s="89"/>
      <c r="AT15" s="89"/>
      <c r="AU15" s="16"/>
    </row>
    <row r="16" ht="15.75" customHeight="1">
      <c r="A16" s="39"/>
      <c r="B16" s="58" t="s">
        <v>17</v>
      </c>
      <c r="C16" s="59" t="s">
        <v>66</v>
      </c>
      <c r="D16" s="60" t="s">
        <v>62</v>
      </c>
      <c r="E16" s="61" t="s">
        <v>67</v>
      </c>
      <c r="F16" s="62"/>
      <c r="G16" s="63" t="b">
        <v>0</v>
      </c>
      <c r="H16" s="69" t="s">
        <v>24</v>
      </c>
      <c r="I16" s="47"/>
      <c r="J16" s="69" t="s">
        <v>24</v>
      </c>
      <c r="K16" s="47"/>
      <c r="L16" s="66" t="s">
        <v>24</v>
      </c>
      <c r="M16" s="47"/>
      <c r="N16" s="66" t="s">
        <v>24</v>
      </c>
      <c r="O16" s="47"/>
      <c r="P16" s="66" t="s">
        <v>24</v>
      </c>
      <c r="Q16" s="47"/>
      <c r="R16" s="66" t="s">
        <v>24</v>
      </c>
      <c r="S16" s="86"/>
      <c r="T16" s="67"/>
      <c r="U16" s="68" t="b">
        <v>0</v>
      </c>
      <c r="V16" s="69" t="s">
        <v>24</v>
      </c>
      <c r="W16" s="54"/>
      <c r="X16" s="69" t="s">
        <v>24</v>
      </c>
      <c r="Y16" s="54"/>
      <c r="Z16" s="66" t="s">
        <v>24</v>
      </c>
      <c r="AA16" s="54"/>
      <c r="AB16" s="66" t="s">
        <v>24</v>
      </c>
      <c r="AC16" s="54"/>
      <c r="AD16" s="66" t="s">
        <v>24</v>
      </c>
      <c r="AE16" s="54"/>
      <c r="AF16" s="66" t="s">
        <v>24</v>
      </c>
      <c r="AG16" s="54"/>
      <c r="AH16" s="55"/>
      <c r="AI16" s="90" t="s">
        <v>68</v>
      </c>
      <c r="AJ16" s="27"/>
      <c r="AK16" s="27"/>
      <c r="AL16" s="27"/>
      <c r="AM16" s="27"/>
      <c r="AN16" s="27"/>
      <c r="AO16" s="27"/>
      <c r="AP16" s="27"/>
      <c r="AQ16" s="27"/>
      <c r="AR16" s="27"/>
      <c r="AS16" s="27"/>
      <c r="AT16" s="28"/>
      <c r="AU16" s="16"/>
    </row>
    <row r="17" ht="15.75" customHeight="1">
      <c r="A17" s="39"/>
      <c r="B17" s="58" t="s">
        <v>17</v>
      </c>
      <c r="C17" s="59" t="s">
        <v>69</v>
      </c>
      <c r="D17" s="60" t="s">
        <v>62</v>
      </c>
      <c r="E17" s="61" t="s">
        <v>70</v>
      </c>
      <c r="F17" s="62"/>
      <c r="G17" s="63" t="b">
        <v>0</v>
      </c>
      <c r="H17" s="69" t="s">
        <v>24</v>
      </c>
      <c r="I17" s="47"/>
      <c r="J17" s="69" t="s">
        <v>24</v>
      </c>
      <c r="K17" s="47"/>
      <c r="L17" s="66" t="s">
        <v>24</v>
      </c>
      <c r="M17" s="47"/>
      <c r="N17" s="66" t="s">
        <v>24</v>
      </c>
      <c r="O17" s="47"/>
      <c r="P17" s="66" t="s">
        <v>24</v>
      </c>
      <c r="Q17" s="47"/>
      <c r="R17" s="66" t="s">
        <v>24</v>
      </c>
      <c r="S17" s="47"/>
      <c r="T17" s="67"/>
      <c r="U17" s="68" t="b">
        <v>0</v>
      </c>
      <c r="V17" s="69" t="s">
        <v>24</v>
      </c>
      <c r="W17" s="54"/>
      <c r="X17" s="69" t="s">
        <v>24</v>
      </c>
      <c r="Y17" s="54"/>
      <c r="Z17" s="66" t="s">
        <v>24</v>
      </c>
      <c r="AA17" s="54"/>
      <c r="AB17" s="66" t="s">
        <v>24</v>
      </c>
      <c r="AC17" s="54"/>
      <c r="AD17" s="66" t="s">
        <v>24</v>
      </c>
      <c r="AE17" s="54"/>
      <c r="AF17" s="66" t="s">
        <v>24</v>
      </c>
      <c r="AG17" s="54"/>
      <c r="AH17" s="55"/>
      <c r="AI17" s="91" t="s">
        <v>3</v>
      </c>
      <c r="AJ17" s="28"/>
      <c r="AK17" s="91" t="s">
        <v>4</v>
      </c>
      <c r="AL17" s="28"/>
      <c r="AM17" s="91" t="s">
        <v>5</v>
      </c>
      <c r="AN17" s="28"/>
      <c r="AO17" s="90" t="s">
        <v>6</v>
      </c>
      <c r="AP17" s="28"/>
      <c r="AQ17" s="90" t="s">
        <v>7</v>
      </c>
      <c r="AR17" s="28"/>
      <c r="AS17" s="90" t="s">
        <v>8</v>
      </c>
      <c r="AT17" s="28"/>
      <c r="AU17" s="16"/>
    </row>
    <row r="18" ht="15.75" customHeight="1">
      <c r="A18" s="39"/>
      <c r="B18" s="58" t="s">
        <v>17</v>
      </c>
      <c r="C18" s="59" t="s">
        <v>71</v>
      </c>
      <c r="D18" s="60" t="s">
        <v>62</v>
      </c>
      <c r="E18" s="61" t="s">
        <v>72</v>
      </c>
      <c r="F18" s="62"/>
      <c r="G18" s="63" t="b">
        <v>1</v>
      </c>
      <c r="H18" s="69" t="s">
        <v>28</v>
      </c>
      <c r="I18" s="47" t="s">
        <v>73</v>
      </c>
      <c r="J18" s="69" t="s">
        <v>28</v>
      </c>
      <c r="K18" s="47" t="s">
        <v>73</v>
      </c>
      <c r="L18" s="66">
        <v>39.0</v>
      </c>
      <c r="M18" s="47" t="s">
        <v>73</v>
      </c>
      <c r="N18" s="66" t="s">
        <v>23</v>
      </c>
      <c r="O18" s="47" t="s">
        <v>73</v>
      </c>
      <c r="P18" s="66" t="s">
        <v>23</v>
      </c>
      <c r="Q18" s="47" t="s">
        <v>73</v>
      </c>
      <c r="R18" s="66" t="s">
        <v>23</v>
      </c>
      <c r="S18" s="47" t="s">
        <v>73</v>
      </c>
      <c r="T18" s="67"/>
      <c r="U18" s="68" t="b">
        <v>0</v>
      </c>
      <c r="V18" s="69" t="s">
        <v>24</v>
      </c>
      <c r="W18" s="54"/>
      <c r="X18" s="69" t="s">
        <v>24</v>
      </c>
      <c r="Y18" s="54"/>
      <c r="Z18" s="66" t="s">
        <v>24</v>
      </c>
      <c r="AA18" s="54"/>
      <c r="AB18" s="66" t="s">
        <v>24</v>
      </c>
      <c r="AC18" s="54"/>
      <c r="AD18" s="66" t="s">
        <v>24</v>
      </c>
      <c r="AE18" s="54"/>
      <c r="AF18" s="66" t="s">
        <v>24</v>
      </c>
      <c r="AG18" s="54"/>
      <c r="AH18" s="55"/>
      <c r="AI18" s="56" t="s">
        <v>30</v>
      </c>
      <c r="AJ18" s="57"/>
      <c r="AK18" s="56" t="s">
        <v>30</v>
      </c>
      <c r="AL18" s="57"/>
      <c r="AM18" s="56" t="s">
        <v>30</v>
      </c>
      <c r="AN18" s="57"/>
      <c r="AO18" s="56" t="s">
        <v>30</v>
      </c>
      <c r="AP18" s="57"/>
      <c r="AQ18" s="56" t="s">
        <v>30</v>
      </c>
      <c r="AR18" s="57"/>
      <c r="AS18" s="56" t="s">
        <v>30</v>
      </c>
      <c r="AT18" s="57"/>
      <c r="AU18" s="16"/>
    </row>
    <row r="19" ht="15.75" customHeight="1">
      <c r="A19" s="39"/>
      <c r="B19" s="58" t="s">
        <v>17</v>
      </c>
      <c r="C19" s="59" t="s">
        <v>74</v>
      </c>
      <c r="D19" s="60" t="s">
        <v>19</v>
      </c>
      <c r="E19" s="61" t="s">
        <v>75</v>
      </c>
      <c r="F19" s="62"/>
      <c r="G19" s="63" t="b">
        <v>1</v>
      </c>
      <c r="H19" s="69" t="s">
        <v>33</v>
      </c>
      <c r="I19" s="47" t="s">
        <v>76</v>
      </c>
      <c r="J19" s="69" t="s">
        <v>33</v>
      </c>
      <c r="K19" s="47" t="s">
        <v>76</v>
      </c>
      <c r="L19" s="66">
        <v>42.0</v>
      </c>
      <c r="M19" s="47" t="s">
        <v>76</v>
      </c>
      <c r="N19" s="66" t="s">
        <v>23</v>
      </c>
      <c r="O19" s="47" t="s">
        <v>76</v>
      </c>
      <c r="P19" s="66" t="s">
        <v>23</v>
      </c>
      <c r="Q19" s="47" t="s">
        <v>76</v>
      </c>
      <c r="R19" s="66" t="s">
        <v>23</v>
      </c>
      <c r="S19" s="47" t="s">
        <v>76</v>
      </c>
      <c r="T19" s="67"/>
      <c r="U19" s="68" t="b">
        <v>0</v>
      </c>
      <c r="V19" s="69" t="s">
        <v>24</v>
      </c>
      <c r="W19" s="54"/>
      <c r="X19" s="69" t="s">
        <v>24</v>
      </c>
      <c r="Y19" s="54"/>
      <c r="Z19" s="66" t="s">
        <v>24</v>
      </c>
      <c r="AA19" s="54"/>
      <c r="AB19" s="66" t="s">
        <v>24</v>
      </c>
      <c r="AC19" s="54"/>
      <c r="AD19" s="66" t="s">
        <v>24</v>
      </c>
      <c r="AE19" s="54"/>
      <c r="AF19" s="66" t="s">
        <v>24</v>
      </c>
      <c r="AG19" s="54"/>
      <c r="AH19" s="55"/>
      <c r="AI19" s="70" t="s">
        <v>35</v>
      </c>
      <c r="AJ19" s="92">
        <f>V3</f>
        <v>25</v>
      </c>
      <c r="AK19" s="70" t="s">
        <v>35</v>
      </c>
      <c r="AL19" s="92">
        <f>X3</f>
        <v>26</v>
      </c>
      <c r="AM19" s="70" t="s">
        <v>35</v>
      </c>
      <c r="AN19" s="92">
        <f>Z3</f>
        <v>36</v>
      </c>
      <c r="AO19" s="70" t="s">
        <v>35</v>
      </c>
      <c r="AP19" s="92">
        <f>AB3</f>
        <v>37</v>
      </c>
      <c r="AQ19" s="70" t="s">
        <v>35</v>
      </c>
      <c r="AR19" s="92">
        <f>AD3</f>
        <v>34</v>
      </c>
      <c r="AS19" s="70" t="s">
        <v>35</v>
      </c>
      <c r="AT19" s="92">
        <f>AF3</f>
        <v>32</v>
      </c>
      <c r="AU19" s="16"/>
    </row>
    <row r="20" ht="15.75" customHeight="1">
      <c r="A20" s="39"/>
      <c r="B20" s="58" t="s">
        <v>17</v>
      </c>
      <c r="C20" s="59" t="s">
        <v>77</v>
      </c>
      <c r="D20" s="60" t="s">
        <v>62</v>
      </c>
      <c r="E20" s="61" t="s">
        <v>78</v>
      </c>
      <c r="F20" s="62"/>
      <c r="G20" s="63" t="b">
        <v>1</v>
      </c>
      <c r="H20" s="69" t="s">
        <v>33</v>
      </c>
      <c r="I20" s="47" t="s">
        <v>79</v>
      </c>
      <c r="J20" s="69" t="s">
        <v>33</v>
      </c>
      <c r="K20" s="47" t="s">
        <v>79</v>
      </c>
      <c r="L20" s="66">
        <v>44.0</v>
      </c>
      <c r="M20" s="47" t="s">
        <v>79</v>
      </c>
      <c r="N20" s="66" t="s">
        <v>23</v>
      </c>
      <c r="O20" s="47" t="s">
        <v>79</v>
      </c>
      <c r="P20" s="66" t="s">
        <v>23</v>
      </c>
      <c r="Q20" s="47" t="s">
        <v>79</v>
      </c>
      <c r="R20" s="66" t="s">
        <v>23</v>
      </c>
      <c r="S20" s="47" t="s">
        <v>79</v>
      </c>
      <c r="T20" s="67"/>
      <c r="U20" s="68" t="b">
        <v>0</v>
      </c>
      <c r="V20" s="69" t="s">
        <v>24</v>
      </c>
      <c r="W20" s="54"/>
      <c r="X20" s="69" t="s">
        <v>24</v>
      </c>
      <c r="Y20" s="54"/>
      <c r="Z20" s="66" t="s">
        <v>24</v>
      </c>
      <c r="AA20" s="54"/>
      <c r="AB20" s="66" t="s">
        <v>24</v>
      </c>
      <c r="AC20" s="54"/>
      <c r="AD20" s="66" t="s">
        <v>24</v>
      </c>
      <c r="AE20" s="54"/>
      <c r="AF20" s="66" t="s">
        <v>24</v>
      </c>
      <c r="AG20" s="54"/>
      <c r="AH20" s="55"/>
      <c r="AI20" s="73" t="s">
        <v>28</v>
      </c>
      <c r="AJ20" s="74">
        <f>COUNTIF($V4:V118,"P")</f>
        <v>5</v>
      </c>
      <c r="AK20" s="73" t="s">
        <v>28</v>
      </c>
      <c r="AL20" s="75">
        <f>COUNTIF($X4:X108,"P")</f>
        <v>4</v>
      </c>
      <c r="AM20" s="76">
        <v>39.0</v>
      </c>
      <c r="AN20" s="75">
        <f>COUNTIF(Z4:Z108,"39")</f>
        <v>0</v>
      </c>
      <c r="AO20" s="77"/>
      <c r="AP20" s="78"/>
      <c r="AQ20" s="77"/>
      <c r="AR20" s="78"/>
      <c r="AS20" s="77"/>
      <c r="AT20" s="78"/>
      <c r="AU20" s="16"/>
    </row>
    <row r="21" ht="15.75" customHeight="1">
      <c r="A21" s="39"/>
      <c r="B21" s="58" t="s">
        <v>17</v>
      </c>
      <c r="C21" s="59" t="s">
        <v>80</v>
      </c>
      <c r="D21" s="60" t="s">
        <v>62</v>
      </c>
      <c r="E21" s="61" t="s">
        <v>81</v>
      </c>
      <c r="F21" s="62"/>
      <c r="G21" s="63" t="b">
        <v>0</v>
      </c>
      <c r="H21" s="69" t="s">
        <v>24</v>
      </c>
      <c r="I21" s="47"/>
      <c r="J21" s="69" t="s">
        <v>24</v>
      </c>
      <c r="K21" s="47"/>
      <c r="L21" s="66" t="s">
        <v>24</v>
      </c>
      <c r="M21" s="47"/>
      <c r="N21" s="66" t="s">
        <v>24</v>
      </c>
      <c r="O21" s="47"/>
      <c r="P21" s="66" t="s">
        <v>24</v>
      </c>
      <c r="Q21" s="47"/>
      <c r="R21" s="66" t="s">
        <v>24</v>
      </c>
      <c r="S21" s="86"/>
      <c r="T21" s="67"/>
      <c r="U21" s="68" t="b">
        <v>0</v>
      </c>
      <c r="V21" s="69" t="s">
        <v>24</v>
      </c>
      <c r="W21" s="54"/>
      <c r="X21" s="69" t="s">
        <v>24</v>
      </c>
      <c r="Y21" s="54"/>
      <c r="Z21" s="66" t="s">
        <v>24</v>
      </c>
      <c r="AA21" s="54"/>
      <c r="AB21" s="66" t="s">
        <v>24</v>
      </c>
      <c r="AC21" s="54"/>
      <c r="AD21" s="66" t="s">
        <v>24</v>
      </c>
      <c r="AE21" s="54"/>
      <c r="AF21" s="66" t="s">
        <v>24</v>
      </c>
      <c r="AG21" s="54"/>
      <c r="AH21" s="55"/>
      <c r="AI21" s="73" t="s">
        <v>21</v>
      </c>
      <c r="AJ21" s="74">
        <f>COUNTIF($V4:V108,"G")</f>
        <v>5</v>
      </c>
      <c r="AK21" s="73" t="s">
        <v>21</v>
      </c>
      <c r="AL21" s="75">
        <f>COUNTIF($X4:X108,"G")</f>
        <v>4</v>
      </c>
      <c r="AM21" s="79">
        <v>41.0</v>
      </c>
      <c r="AN21" s="75">
        <f>COUNTIF(Z4:Z108,"41")</f>
        <v>5</v>
      </c>
      <c r="AO21" s="77"/>
      <c r="AP21" s="78"/>
      <c r="AQ21" s="77"/>
      <c r="AR21" s="78"/>
      <c r="AS21" s="77"/>
      <c r="AT21" s="78"/>
      <c r="AU21" s="16"/>
    </row>
    <row r="22" ht="15.75" customHeight="1">
      <c r="A22" s="39"/>
      <c r="B22" s="58" t="s">
        <v>17</v>
      </c>
      <c r="C22" s="59" t="s">
        <v>82</v>
      </c>
      <c r="D22" s="60" t="s">
        <v>62</v>
      </c>
      <c r="E22" s="61" t="s">
        <v>83</v>
      </c>
      <c r="F22" s="62"/>
      <c r="G22" s="63" t="b">
        <v>0</v>
      </c>
      <c r="H22" s="69" t="s">
        <v>24</v>
      </c>
      <c r="I22" s="47"/>
      <c r="J22" s="69" t="s">
        <v>24</v>
      </c>
      <c r="K22" s="47"/>
      <c r="L22" s="66" t="s">
        <v>24</v>
      </c>
      <c r="M22" s="47"/>
      <c r="N22" s="66" t="s">
        <v>24</v>
      </c>
      <c r="O22" s="47"/>
      <c r="P22" s="66" t="s">
        <v>24</v>
      </c>
      <c r="Q22" s="47"/>
      <c r="R22" s="66" t="s">
        <v>24</v>
      </c>
      <c r="S22" s="86"/>
      <c r="T22" s="67"/>
      <c r="U22" s="68" t="b">
        <v>0</v>
      </c>
      <c r="V22" s="69" t="s">
        <v>24</v>
      </c>
      <c r="W22" s="54"/>
      <c r="X22" s="69" t="s">
        <v>24</v>
      </c>
      <c r="Y22" s="54"/>
      <c r="Z22" s="66" t="s">
        <v>24</v>
      </c>
      <c r="AA22" s="54"/>
      <c r="AB22" s="66" t="s">
        <v>24</v>
      </c>
      <c r="AC22" s="54"/>
      <c r="AD22" s="66" t="s">
        <v>24</v>
      </c>
      <c r="AE22" s="54"/>
      <c r="AF22" s="66" t="s">
        <v>24</v>
      </c>
      <c r="AG22" s="54"/>
      <c r="AH22" s="55"/>
      <c r="AI22" s="73" t="s">
        <v>51</v>
      </c>
      <c r="AJ22" s="74">
        <f>COUNTIF($V4:V108,"GG")</f>
        <v>9</v>
      </c>
      <c r="AK22" s="73" t="s">
        <v>51</v>
      </c>
      <c r="AL22" s="75">
        <f>COUNTIF($X4:X108,"GG")</f>
        <v>12</v>
      </c>
      <c r="AM22" s="79">
        <v>42.0</v>
      </c>
      <c r="AN22" s="75">
        <f>COUNTIF(Z4:Z108,"42")</f>
        <v>7</v>
      </c>
      <c r="AO22" s="77"/>
      <c r="AP22" s="78"/>
      <c r="AQ22" s="77"/>
      <c r="AR22" s="78"/>
      <c r="AS22" s="77"/>
      <c r="AT22" s="78"/>
      <c r="AU22" s="16"/>
    </row>
    <row r="23" ht="15.75" customHeight="1">
      <c r="A23" s="39"/>
      <c r="B23" s="58" t="s">
        <v>17</v>
      </c>
      <c r="C23" s="59" t="s">
        <v>84</v>
      </c>
      <c r="D23" s="60" t="s">
        <v>62</v>
      </c>
      <c r="E23" s="61" t="s">
        <v>85</v>
      </c>
      <c r="F23" s="62"/>
      <c r="G23" s="63" t="b">
        <v>0</v>
      </c>
      <c r="H23" s="69" t="s">
        <v>24</v>
      </c>
      <c r="I23" s="47"/>
      <c r="J23" s="69" t="s">
        <v>24</v>
      </c>
      <c r="K23" s="47"/>
      <c r="L23" s="66" t="s">
        <v>24</v>
      </c>
      <c r="M23" s="47"/>
      <c r="N23" s="66" t="s">
        <v>24</v>
      </c>
      <c r="O23" s="47"/>
      <c r="P23" s="66" t="s">
        <v>24</v>
      </c>
      <c r="Q23" s="47"/>
      <c r="R23" s="66" t="s">
        <v>24</v>
      </c>
      <c r="S23" s="86"/>
      <c r="T23" s="67"/>
      <c r="U23" s="68" t="b">
        <v>0</v>
      </c>
      <c r="V23" s="69" t="s">
        <v>24</v>
      </c>
      <c r="W23" s="54"/>
      <c r="X23" s="69" t="s">
        <v>24</v>
      </c>
      <c r="Y23" s="54"/>
      <c r="Z23" s="66" t="s">
        <v>24</v>
      </c>
      <c r="AA23" s="54"/>
      <c r="AB23" s="66" t="s">
        <v>24</v>
      </c>
      <c r="AC23" s="54"/>
      <c r="AD23" s="66" t="s">
        <v>24</v>
      </c>
      <c r="AE23" s="54"/>
      <c r="AF23" s="66" t="s">
        <v>24</v>
      </c>
      <c r="AG23" s="54"/>
      <c r="AH23" s="55"/>
      <c r="AI23" s="73" t="s">
        <v>38</v>
      </c>
      <c r="AJ23" s="74">
        <f>COUNTIF($V4:$V108,"EG")</f>
        <v>2</v>
      </c>
      <c r="AK23" s="73" t="s">
        <v>38</v>
      </c>
      <c r="AL23" s="75">
        <f>COUNTIF($X4:X108,"EG")</f>
        <v>1</v>
      </c>
      <c r="AM23" s="79">
        <v>43.0</v>
      </c>
      <c r="AN23" s="75">
        <f>COUNTIF(Z4:Z108,"43")</f>
        <v>5</v>
      </c>
      <c r="AO23" s="77"/>
      <c r="AP23" s="78"/>
      <c r="AQ23" s="77"/>
      <c r="AR23" s="78"/>
      <c r="AS23" s="77"/>
      <c r="AT23" s="78"/>
      <c r="AU23" s="16"/>
    </row>
    <row r="24" ht="15.75" customHeight="1">
      <c r="A24" s="39"/>
      <c r="B24" s="58" t="s">
        <v>17</v>
      </c>
      <c r="C24" s="59" t="s">
        <v>86</v>
      </c>
      <c r="D24" s="60" t="s">
        <v>87</v>
      </c>
      <c r="E24" s="61" t="s">
        <v>88</v>
      </c>
      <c r="F24" s="62"/>
      <c r="G24" s="63" t="b">
        <v>0</v>
      </c>
      <c r="H24" s="69" t="s">
        <v>24</v>
      </c>
      <c r="I24" s="47"/>
      <c r="J24" s="69" t="s">
        <v>24</v>
      </c>
      <c r="K24" s="47"/>
      <c r="L24" s="66" t="s">
        <v>24</v>
      </c>
      <c r="M24" s="47"/>
      <c r="N24" s="66" t="s">
        <v>24</v>
      </c>
      <c r="O24" s="47"/>
      <c r="P24" s="66" t="s">
        <v>24</v>
      </c>
      <c r="Q24" s="47"/>
      <c r="R24" s="66" t="s">
        <v>24</v>
      </c>
      <c r="S24" s="86"/>
      <c r="T24" s="67"/>
      <c r="U24" s="68" t="b">
        <v>0</v>
      </c>
      <c r="V24" s="69" t="s">
        <v>24</v>
      </c>
      <c r="W24" s="54"/>
      <c r="X24" s="69" t="s">
        <v>24</v>
      </c>
      <c r="Y24" s="54"/>
      <c r="Z24" s="66" t="s">
        <v>24</v>
      </c>
      <c r="AA24" s="54"/>
      <c r="AB24" s="66" t="s">
        <v>24</v>
      </c>
      <c r="AC24" s="54"/>
      <c r="AD24" s="66" t="s">
        <v>24</v>
      </c>
      <c r="AE24" s="54"/>
      <c r="AF24" s="66" t="s">
        <v>24</v>
      </c>
      <c r="AG24" s="54"/>
      <c r="AH24" s="55"/>
      <c r="AI24" s="80" t="s">
        <v>40</v>
      </c>
      <c r="AJ24" s="74">
        <f>COUNTIF($V4:V108,"XL")</f>
        <v>0</v>
      </c>
      <c r="AK24" s="80" t="s">
        <v>40</v>
      </c>
      <c r="AL24" s="81">
        <f>COUNTIF($X4:X108,"XL")</f>
        <v>1</v>
      </c>
      <c r="AM24" s="79">
        <v>44.0</v>
      </c>
      <c r="AN24" s="75">
        <f>COUNTIF(Z4:Z108,"44")</f>
        <v>12</v>
      </c>
      <c r="AO24" s="77"/>
      <c r="AP24" s="78"/>
      <c r="AQ24" s="77"/>
      <c r="AR24" s="78"/>
      <c r="AS24" s="77"/>
      <c r="AT24" s="78"/>
      <c r="AU24" s="16"/>
    </row>
    <row r="25" ht="15.75" customHeight="1">
      <c r="A25" s="39"/>
      <c r="B25" s="58" t="s">
        <v>17</v>
      </c>
      <c r="C25" s="59" t="s">
        <v>89</v>
      </c>
      <c r="D25" s="60" t="s">
        <v>62</v>
      </c>
      <c r="E25" s="61" t="s">
        <v>90</v>
      </c>
      <c r="F25" s="62"/>
      <c r="G25" s="63" t="b">
        <v>0</v>
      </c>
      <c r="H25" s="69" t="s">
        <v>24</v>
      </c>
      <c r="I25" s="47"/>
      <c r="J25" s="69" t="s">
        <v>24</v>
      </c>
      <c r="K25" s="47"/>
      <c r="L25" s="66" t="s">
        <v>24</v>
      </c>
      <c r="M25" s="47"/>
      <c r="N25" s="66" t="s">
        <v>24</v>
      </c>
      <c r="O25" s="47"/>
      <c r="P25" s="66" t="s">
        <v>24</v>
      </c>
      <c r="Q25" s="47"/>
      <c r="R25" s="66" t="s">
        <v>24</v>
      </c>
      <c r="S25" s="86"/>
      <c r="T25" s="67"/>
      <c r="U25" s="68" t="b">
        <v>0</v>
      </c>
      <c r="V25" s="69" t="s">
        <v>24</v>
      </c>
      <c r="W25" s="54"/>
      <c r="X25" s="69" t="s">
        <v>24</v>
      </c>
      <c r="Y25" s="54"/>
      <c r="Z25" s="66" t="s">
        <v>24</v>
      </c>
      <c r="AA25" s="54"/>
      <c r="AB25" s="66" t="s">
        <v>24</v>
      </c>
      <c r="AC25" s="54"/>
      <c r="AD25" s="66" t="s">
        <v>24</v>
      </c>
      <c r="AE25" s="54"/>
      <c r="AF25" s="66" t="s">
        <v>24</v>
      </c>
      <c r="AG25" s="54"/>
      <c r="AH25" s="55"/>
      <c r="AI25" s="82"/>
      <c r="AJ25" s="83"/>
      <c r="AK25" s="82"/>
      <c r="AL25" s="83"/>
      <c r="AM25" s="79">
        <v>45.0</v>
      </c>
      <c r="AN25" s="88">
        <f>COUNTIF(Z4:Z108,"45")</f>
        <v>1</v>
      </c>
      <c r="AO25" s="84"/>
      <c r="AP25" s="85"/>
      <c r="AQ25" s="84"/>
      <c r="AR25" s="85"/>
      <c r="AS25" s="84"/>
      <c r="AT25" s="85"/>
      <c r="AU25" s="16"/>
    </row>
    <row r="26" ht="15.75" customHeight="1">
      <c r="A26" s="39"/>
      <c r="B26" s="58" t="s">
        <v>17</v>
      </c>
      <c r="C26" s="59" t="s">
        <v>91</v>
      </c>
      <c r="D26" s="60" t="s">
        <v>87</v>
      </c>
      <c r="E26" s="61" t="s">
        <v>92</v>
      </c>
      <c r="F26" s="62"/>
      <c r="G26" s="63" t="b">
        <v>0</v>
      </c>
      <c r="H26" s="69" t="s">
        <v>24</v>
      </c>
      <c r="I26" s="47"/>
      <c r="J26" s="69" t="s">
        <v>24</v>
      </c>
      <c r="K26" s="47"/>
      <c r="L26" s="66" t="s">
        <v>24</v>
      </c>
      <c r="M26" s="47"/>
      <c r="N26" s="66" t="s">
        <v>24</v>
      </c>
      <c r="O26" s="47"/>
      <c r="P26" s="66" t="s">
        <v>24</v>
      </c>
      <c r="Q26" s="47"/>
      <c r="R26" s="66" t="s">
        <v>24</v>
      </c>
      <c r="S26" s="86"/>
      <c r="T26" s="67"/>
      <c r="U26" s="68" t="b">
        <v>1</v>
      </c>
      <c r="V26" s="69" t="s">
        <v>33</v>
      </c>
      <c r="W26" s="54" t="s">
        <v>93</v>
      </c>
      <c r="X26" s="69" t="s">
        <v>33</v>
      </c>
      <c r="Y26" s="54" t="s">
        <v>93</v>
      </c>
      <c r="Z26" s="66">
        <v>43.0</v>
      </c>
      <c r="AA26" s="54" t="s">
        <v>93</v>
      </c>
      <c r="AB26" s="66" t="s">
        <v>23</v>
      </c>
      <c r="AC26" s="54" t="s">
        <v>93</v>
      </c>
      <c r="AD26" s="66" t="s">
        <v>23</v>
      </c>
      <c r="AE26" s="54" t="s">
        <v>93</v>
      </c>
      <c r="AF26" s="66" t="s">
        <v>23</v>
      </c>
      <c r="AG26" s="54" t="s">
        <v>93</v>
      </c>
      <c r="AH26" s="55"/>
      <c r="AI26" s="82"/>
      <c r="AJ26" s="83"/>
      <c r="AK26" s="82"/>
      <c r="AL26" s="83"/>
      <c r="AM26" s="87">
        <v>46.0</v>
      </c>
      <c r="AN26" s="88">
        <f>COUNTIF(Z4:Z108,"46")</f>
        <v>2</v>
      </c>
      <c r="AO26" s="84"/>
      <c r="AP26" s="85"/>
      <c r="AQ26" s="84"/>
      <c r="AR26" s="85"/>
      <c r="AS26" s="84"/>
      <c r="AT26" s="85"/>
      <c r="AU26" s="16"/>
    </row>
    <row r="27" ht="15.75" customHeight="1">
      <c r="A27" s="39"/>
      <c r="B27" s="58" t="s">
        <v>17</v>
      </c>
      <c r="C27" s="59" t="s">
        <v>94</v>
      </c>
      <c r="D27" s="60" t="s">
        <v>62</v>
      </c>
      <c r="E27" s="61" t="s">
        <v>95</v>
      </c>
      <c r="F27" s="62"/>
      <c r="G27" s="63" t="b">
        <v>0</v>
      </c>
      <c r="H27" s="69" t="s">
        <v>24</v>
      </c>
      <c r="I27" s="47"/>
      <c r="J27" s="69" t="s">
        <v>24</v>
      </c>
      <c r="K27" s="47"/>
      <c r="L27" s="66" t="s">
        <v>24</v>
      </c>
      <c r="M27" s="47"/>
      <c r="N27" s="66" t="s">
        <v>24</v>
      </c>
      <c r="O27" s="47"/>
      <c r="P27" s="66" t="s">
        <v>24</v>
      </c>
      <c r="Q27" s="47"/>
      <c r="R27" s="66" t="s">
        <v>24</v>
      </c>
      <c r="S27" s="86"/>
      <c r="T27" s="67"/>
      <c r="U27" s="68" t="b">
        <v>1</v>
      </c>
      <c r="V27" s="69" t="s">
        <v>51</v>
      </c>
      <c r="W27" s="54" t="s">
        <v>96</v>
      </c>
      <c r="X27" s="69" t="s">
        <v>51</v>
      </c>
      <c r="Y27" s="54" t="s">
        <v>96</v>
      </c>
      <c r="Z27" s="66">
        <v>43.0</v>
      </c>
      <c r="AA27" s="54" t="s">
        <v>96</v>
      </c>
      <c r="AB27" s="66" t="s">
        <v>23</v>
      </c>
      <c r="AC27" s="54" t="s">
        <v>96</v>
      </c>
      <c r="AD27" s="66" t="s">
        <v>23</v>
      </c>
      <c r="AE27" s="54" t="s">
        <v>96</v>
      </c>
      <c r="AF27" s="66" t="s">
        <v>23</v>
      </c>
      <c r="AG27" s="54" t="s">
        <v>96</v>
      </c>
      <c r="AH27" s="55"/>
      <c r="AI27" s="93"/>
      <c r="AJ27" s="94"/>
      <c r="AK27" s="93"/>
      <c r="AL27" s="94"/>
      <c r="AM27" s="93"/>
      <c r="AN27" s="94"/>
      <c r="AO27" s="16"/>
      <c r="AP27" s="16"/>
      <c r="AQ27" s="16"/>
      <c r="AR27" s="16"/>
      <c r="AS27" s="16"/>
      <c r="AT27" s="16"/>
      <c r="AU27" s="16"/>
    </row>
    <row r="28" ht="15.75" customHeight="1">
      <c r="A28" s="39"/>
      <c r="B28" s="58" t="s">
        <v>17</v>
      </c>
      <c r="C28" s="59" t="s">
        <v>97</v>
      </c>
      <c r="D28" s="60" t="s">
        <v>98</v>
      </c>
      <c r="E28" s="61" t="s">
        <v>99</v>
      </c>
      <c r="F28" s="62"/>
      <c r="G28" s="63" t="b">
        <v>0</v>
      </c>
      <c r="H28" s="69" t="s">
        <v>24</v>
      </c>
      <c r="I28" s="47"/>
      <c r="J28" s="69" t="s">
        <v>24</v>
      </c>
      <c r="K28" s="47"/>
      <c r="L28" s="66" t="s">
        <v>24</v>
      </c>
      <c r="M28" s="47"/>
      <c r="N28" s="66" t="s">
        <v>24</v>
      </c>
      <c r="O28" s="47"/>
      <c r="P28" s="66" t="s">
        <v>24</v>
      </c>
      <c r="Q28" s="47"/>
      <c r="R28" s="66" t="s">
        <v>24</v>
      </c>
      <c r="S28" s="86"/>
      <c r="T28" s="67"/>
      <c r="U28" s="68" t="b">
        <v>1</v>
      </c>
      <c r="V28" s="69" t="s">
        <v>33</v>
      </c>
      <c r="W28" s="54" t="s">
        <v>100</v>
      </c>
      <c r="X28" s="69" t="s">
        <v>33</v>
      </c>
      <c r="Y28" s="54" t="s">
        <v>100</v>
      </c>
      <c r="Z28" s="66">
        <v>41.0</v>
      </c>
      <c r="AA28" s="54" t="s">
        <v>100</v>
      </c>
      <c r="AB28" s="66" t="s">
        <v>23</v>
      </c>
      <c r="AC28" s="54" t="s">
        <v>100</v>
      </c>
      <c r="AD28" s="66" t="s">
        <v>23</v>
      </c>
      <c r="AE28" s="54" t="s">
        <v>100</v>
      </c>
      <c r="AF28" s="66" t="s">
        <v>23</v>
      </c>
      <c r="AG28" s="54" t="s">
        <v>100</v>
      </c>
      <c r="AH28" s="55"/>
      <c r="AI28" s="93"/>
      <c r="AJ28" s="94"/>
      <c r="AK28" s="93"/>
      <c r="AL28" s="94"/>
      <c r="AM28" s="93"/>
      <c r="AN28" s="94"/>
      <c r="AO28" s="16"/>
      <c r="AP28" s="16"/>
      <c r="AQ28" s="16"/>
      <c r="AR28" s="16"/>
      <c r="AS28" s="16"/>
      <c r="AT28" s="16"/>
      <c r="AU28" s="16"/>
    </row>
    <row r="29" ht="15.75" customHeight="1">
      <c r="A29" s="39"/>
      <c r="B29" s="58" t="s">
        <v>17</v>
      </c>
      <c r="C29" s="59" t="s">
        <v>101</v>
      </c>
      <c r="D29" s="60" t="s">
        <v>62</v>
      </c>
      <c r="E29" s="61" t="s">
        <v>102</v>
      </c>
      <c r="F29" s="62"/>
      <c r="G29" s="63" t="b">
        <v>0</v>
      </c>
      <c r="H29" s="69" t="s">
        <v>24</v>
      </c>
      <c r="I29" s="47"/>
      <c r="J29" s="69" t="s">
        <v>24</v>
      </c>
      <c r="K29" s="47"/>
      <c r="L29" s="66" t="s">
        <v>24</v>
      </c>
      <c r="M29" s="47"/>
      <c r="N29" s="66" t="s">
        <v>24</v>
      </c>
      <c r="O29" s="47"/>
      <c r="P29" s="66" t="s">
        <v>24</v>
      </c>
      <c r="Q29" s="47"/>
      <c r="R29" s="66" t="s">
        <v>24</v>
      </c>
      <c r="S29" s="86"/>
      <c r="T29" s="67"/>
      <c r="U29" s="68" t="b">
        <v>0</v>
      </c>
      <c r="V29" s="69" t="s">
        <v>24</v>
      </c>
      <c r="W29" s="54"/>
      <c r="X29" s="69" t="s">
        <v>24</v>
      </c>
      <c r="Y29" s="54"/>
      <c r="Z29" s="66" t="s">
        <v>24</v>
      </c>
      <c r="AA29" s="54"/>
      <c r="AB29" s="66" t="s">
        <v>24</v>
      </c>
      <c r="AC29" s="54"/>
      <c r="AD29" s="66" t="s">
        <v>24</v>
      </c>
      <c r="AE29" s="54"/>
      <c r="AF29" s="66" t="s">
        <v>24</v>
      </c>
      <c r="AG29" s="54"/>
      <c r="AH29" s="55"/>
      <c r="AI29" s="93"/>
      <c r="AJ29" s="94"/>
      <c r="AK29" s="93"/>
      <c r="AL29" s="94"/>
      <c r="AM29" s="93"/>
      <c r="AN29" s="94"/>
      <c r="AO29" s="16"/>
      <c r="AP29" s="16"/>
      <c r="AQ29" s="16"/>
      <c r="AR29" s="16"/>
      <c r="AS29" s="16"/>
      <c r="AT29" s="16"/>
      <c r="AU29" s="16"/>
    </row>
    <row r="30" ht="15.75" customHeight="1">
      <c r="A30" s="39"/>
      <c r="B30" s="58" t="s">
        <v>17</v>
      </c>
      <c r="C30" s="59" t="s">
        <v>103</v>
      </c>
      <c r="D30" s="60" t="s">
        <v>98</v>
      </c>
      <c r="E30" s="61" t="s">
        <v>104</v>
      </c>
      <c r="F30" s="62"/>
      <c r="G30" s="63" t="b">
        <v>0</v>
      </c>
      <c r="H30" s="69" t="s">
        <v>24</v>
      </c>
      <c r="I30" s="47"/>
      <c r="J30" s="69" t="s">
        <v>24</v>
      </c>
      <c r="K30" s="47"/>
      <c r="L30" s="66" t="s">
        <v>24</v>
      </c>
      <c r="M30" s="47"/>
      <c r="N30" s="66" t="s">
        <v>24</v>
      </c>
      <c r="O30" s="47"/>
      <c r="P30" s="66" t="s">
        <v>24</v>
      </c>
      <c r="Q30" s="47"/>
      <c r="R30" s="66" t="s">
        <v>24</v>
      </c>
      <c r="S30" s="86"/>
      <c r="T30" s="67"/>
      <c r="U30" s="68" t="b">
        <v>1</v>
      </c>
      <c r="V30" s="69" t="s">
        <v>24</v>
      </c>
      <c r="W30" s="54" t="s">
        <v>105</v>
      </c>
      <c r="X30" s="69" t="s">
        <v>21</v>
      </c>
      <c r="Y30" s="54" t="s">
        <v>105</v>
      </c>
      <c r="Z30" s="66">
        <v>40.0</v>
      </c>
      <c r="AA30" s="54" t="s">
        <v>105</v>
      </c>
      <c r="AB30" s="66" t="s">
        <v>23</v>
      </c>
      <c r="AC30" s="54" t="s">
        <v>105</v>
      </c>
      <c r="AD30" s="66" t="s">
        <v>23</v>
      </c>
      <c r="AE30" s="54" t="s">
        <v>105</v>
      </c>
      <c r="AF30" s="66" t="s">
        <v>23</v>
      </c>
      <c r="AG30" s="54" t="s">
        <v>105</v>
      </c>
      <c r="AH30" s="55"/>
      <c r="AI30" s="93"/>
      <c r="AJ30" s="94"/>
      <c r="AK30" s="93"/>
      <c r="AL30" s="94"/>
      <c r="AM30" s="93"/>
      <c r="AN30" s="94"/>
      <c r="AO30" s="16"/>
      <c r="AP30" s="16"/>
      <c r="AQ30" s="16"/>
      <c r="AR30" s="16"/>
      <c r="AS30" s="16"/>
      <c r="AT30" s="16"/>
      <c r="AU30" s="16"/>
    </row>
    <row r="31" ht="15.75" customHeight="1">
      <c r="A31" s="39"/>
      <c r="B31" s="58" t="s">
        <v>17</v>
      </c>
      <c r="C31" s="59" t="s">
        <v>106</v>
      </c>
      <c r="D31" s="60" t="s">
        <v>98</v>
      </c>
      <c r="E31" s="61" t="s">
        <v>107</v>
      </c>
      <c r="F31" s="62"/>
      <c r="G31" s="63" t="b">
        <v>1</v>
      </c>
      <c r="H31" s="69" t="s">
        <v>21</v>
      </c>
      <c r="I31" s="47" t="s">
        <v>108</v>
      </c>
      <c r="J31" s="69" t="s">
        <v>21</v>
      </c>
      <c r="K31" s="47" t="s">
        <v>108</v>
      </c>
      <c r="L31" s="66">
        <v>42.0</v>
      </c>
      <c r="M31" s="47" t="s">
        <v>108</v>
      </c>
      <c r="N31" s="66" t="s">
        <v>23</v>
      </c>
      <c r="O31" s="47" t="s">
        <v>108</v>
      </c>
      <c r="P31" s="66" t="s">
        <v>23</v>
      </c>
      <c r="Q31" s="47" t="s">
        <v>108</v>
      </c>
      <c r="R31" s="66" t="s">
        <v>23</v>
      </c>
      <c r="S31" s="47" t="s">
        <v>108</v>
      </c>
      <c r="T31" s="67"/>
      <c r="U31" s="68" t="b">
        <v>0</v>
      </c>
      <c r="V31" s="69" t="s">
        <v>24</v>
      </c>
      <c r="W31" s="54"/>
      <c r="X31" s="69" t="s">
        <v>24</v>
      </c>
      <c r="Y31" s="54"/>
      <c r="Z31" s="66" t="s">
        <v>24</v>
      </c>
      <c r="AA31" s="54"/>
      <c r="AB31" s="66" t="s">
        <v>24</v>
      </c>
      <c r="AC31" s="54"/>
      <c r="AD31" s="66" t="s">
        <v>24</v>
      </c>
      <c r="AE31" s="54"/>
      <c r="AF31" s="66" t="s">
        <v>24</v>
      </c>
      <c r="AG31" s="54"/>
      <c r="AH31" s="55"/>
      <c r="AI31" s="93"/>
      <c r="AJ31" s="94"/>
      <c r="AK31" s="93"/>
      <c r="AL31" s="94"/>
      <c r="AM31" s="93"/>
      <c r="AN31" s="94"/>
      <c r="AO31" s="16"/>
      <c r="AP31" s="16"/>
      <c r="AQ31" s="16"/>
      <c r="AR31" s="16"/>
      <c r="AS31" s="16"/>
      <c r="AT31" s="16"/>
      <c r="AU31" s="16"/>
    </row>
    <row r="32" ht="15.75" customHeight="1">
      <c r="A32" s="39"/>
      <c r="B32" s="72" t="s">
        <v>17</v>
      </c>
      <c r="C32" s="59" t="s">
        <v>109</v>
      </c>
      <c r="D32" s="60" t="s">
        <v>98</v>
      </c>
      <c r="E32" s="61" t="s">
        <v>110</v>
      </c>
      <c r="F32" s="62"/>
      <c r="G32" s="63" t="b">
        <v>0</v>
      </c>
      <c r="H32" s="69" t="s">
        <v>24</v>
      </c>
      <c r="I32" s="47"/>
      <c r="J32" s="69" t="s">
        <v>24</v>
      </c>
      <c r="K32" s="47"/>
      <c r="L32" s="66" t="s">
        <v>24</v>
      </c>
      <c r="M32" s="47"/>
      <c r="N32" s="66" t="s">
        <v>24</v>
      </c>
      <c r="O32" s="47"/>
      <c r="P32" s="66" t="s">
        <v>24</v>
      </c>
      <c r="Q32" s="47"/>
      <c r="R32" s="66" t="s">
        <v>24</v>
      </c>
      <c r="S32" s="86"/>
      <c r="T32" s="67"/>
      <c r="U32" s="68" t="b">
        <v>0</v>
      </c>
      <c r="V32" s="69" t="s">
        <v>24</v>
      </c>
      <c r="W32" s="54"/>
      <c r="X32" s="69" t="s">
        <v>24</v>
      </c>
      <c r="Y32" s="54"/>
      <c r="Z32" s="66" t="s">
        <v>24</v>
      </c>
      <c r="AA32" s="54"/>
      <c r="AB32" s="66" t="s">
        <v>24</v>
      </c>
      <c r="AC32" s="54"/>
      <c r="AD32" s="66" t="s">
        <v>24</v>
      </c>
      <c r="AE32" s="54"/>
      <c r="AF32" s="66" t="s">
        <v>24</v>
      </c>
      <c r="AG32" s="54"/>
      <c r="AH32" s="55"/>
      <c r="AI32" s="93"/>
      <c r="AJ32" s="94"/>
      <c r="AK32" s="93"/>
      <c r="AL32" s="94"/>
      <c r="AM32" s="93"/>
      <c r="AN32" s="94"/>
      <c r="AO32" s="16"/>
      <c r="AP32" s="16"/>
      <c r="AQ32" s="16"/>
      <c r="AR32" s="16"/>
      <c r="AS32" s="16"/>
      <c r="AT32" s="16"/>
      <c r="AU32" s="16"/>
    </row>
    <row r="33" ht="15.75" customHeight="1">
      <c r="A33" s="39"/>
      <c r="B33" s="58" t="s">
        <v>17</v>
      </c>
      <c r="C33" s="59" t="s">
        <v>111</v>
      </c>
      <c r="D33" s="60" t="s">
        <v>112</v>
      </c>
      <c r="E33" s="61" t="s">
        <v>113</v>
      </c>
      <c r="F33" s="62"/>
      <c r="G33" s="63" t="b">
        <v>0</v>
      </c>
      <c r="H33" s="69" t="s">
        <v>24</v>
      </c>
      <c r="I33" s="47"/>
      <c r="J33" s="69" t="s">
        <v>24</v>
      </c>
      <c r="K33" s="47"/>
      <c r="L33" s="66" t="s">
        <v>24</v>
      </c>
      <c r="M33" s="47"/>
      <c r="N33" s="66" t="s">
        <v>24</v>
      </c>
      <c r="O33" s="47"/>
      <c r="P33" s="66" t="s">
        <v>24</v>
      </c>
      <c r="Q33" s="47"/>
      <c r="R33" s="66" t="s">
        <v>24</v>
      </c>
      <c r="S33" s="86"/>
      <c r="T33" s="67"/>
      <c r="U33" s="68" t="b">
        <v>1</v>
      </c>
      <c r="V33" s="69" t="s">
        <v>28</v>
      </c>
      <c r="W33" s="54" t="s">
        <v>114</v>
      </c>
      <c r="X33" s="69" t="s">
        <v>28</v>
      </c>
      <c r="Y33" s="54" t="s">
        <v>114</v>
      </c>
      <c r="Z33" s="66">
        <v>44.0</v>
      </c>
      <c r="AA33" s="54" t="s">
        <v>114</v>
      </c>
      <c r="AB33" s="66" t="s">
        <v>23</v>
      </c>
      <c r="AC33" s="54" t="s">
        <v>114</v>
      </c>
      <c r="AD33" s="66" t="s">
        <v>23</v>
      </c>
      <c r="AE33" s="54" t="s">
        <v>114</v>
      </c>
      <c r="AF33" s="66" t="s">
        <v>23</v>
      </c>
      <c r="AG33" s="54" t="s">
        <v>114</v>
      </c>
      <c r="AH33" s="55"/>
      <c r="AI33" s="93"/>
      <c r="AJ33" s="94"/>
      <c r="AK33" s="93"/>
      <c r="AL33" s="94"/>
      <c r="AM33" s="93"/>
      <c r="AN33" s="94"/>
      <c r="AO33" s="16"/>
      <c r="AP33" s="16"/>
      <c r="AQ33" s="16"/>
      <c r="AR33" s="16"/>
      <c r="AS33" s="16"/>
      <c r="AT33" s="16"/>
      <c r="AU33" s="16"/>
    </row>
    <row r="34" ht="15.75" customHeight="1">
      <c r="A34" s="39"/>
      <c r="B34" s="58" t="s">
        <v>17</v>
      </c>
      <c r="C34" s="59" t="s">
        <v>115</v>
      </c>
      <c r="D34" s="60" t="s">
        <v>87</v>
      </c>
      <c r="E34" s="61" t="s">
        <v>116</v>
      </c>
      <c r="F34" s="62"/>
      <c r="G34" s="63" t="b">
        <v>0</v>
      </c>
      <c r="H34" s="69" t="s">
        <v>24</v>
      </c>
      <c r="I34" s="47"/>
      <c r="J34" s="69" t="s">
        <v>24</v>
      </c>
      <c r="K34" s="47"/>
      <c r="L34" s="66" t="s">
        <v>24</v>
      </c>
      <c r="M34" s="47"/>
      <c r="N34" s="66" t="s">
        <v>24</v>
      </c>
      <c r="O34" s="47"/>
      <c r="P34" s="66" t="s">
        <v>24</v>
      </c>
      <c r="Q34" s="47"/>
      <c r="R34" s="66" t="s">
        <v>24</v>
      </c>
      <c r="S34" s="86"/>
      <c r="T34" s="67"/>
      <c r="U34" s="68" t="b">
        <v>0</v>
      </c>
      <c r="V34" s="69" t="s">
        <v>24</v>
      </c>
      <c r="W34" s="54"/>
      <c r="X34" s="69" t="s">
        <v>24</v>
      </c>
      <c r="Y34" s="54"/>
      <c r="Z34" s="66" t="s">
        <v>24</v>
      </c>
      <c r="AA34" s="54"/>
      <c r="AB34" s="66" t="s">
        <v>24</v>
      </c>
      <c r="AC34" s="54"/>
      <c r="AD34" s="66" t="s">
        <v>24</v>
      </c>
      <c r="AE34" s="54"/>
      <c r="AF34" s="66" t="s">
        <v>24</v>
      </c>
      <c r="AG34" s="54"/>
      <c r="AH34" s="55"/>
      <c r="AI34" s="93"/>
      <c r="AJ34" s="94"/>
      <c r="AK34" s="93"/>
      <c r="AL34" s="94"/>
      <c r="AM34" s="93"/>
      <c r="AN34" s="94"/>
      <c r="AO34" s="16"/>
      <c r="AP34" s="16"/>
      <c r="AQ34" s="16"/>
      <c r="AR34" s="16"/>
      <c r="AS34" s="16"/>
      <c r="AT34" s="16"/>
      <c r="AU34" s="16"/>
    </row>
    <row r="35" ht="15.75" customHeight="1">
      <c r="A35" s="39"/>
      <c r="B35" s="58" t="s">
        <v>17</v>
      </c>
      <c r="C35" s="59" t="s">
        <v>117</v>
      </c>
      <c r="D35" s="60" t="s">
        <v>112</v>
      </c>
      <c r="E35" s="61" t="s">
        <v>118</v>
      </c>
      <c r="F35" s="62"/>
      <c r="G35" s="63" t="b">
        <v>1</v>
      </c>
      <c r="H35" s="69" t="s">
        <v>33</v>
      </c>
      <c r="I35" s="47" t="s">
        <v>119</v>
      </c>
      <c r="J35" s="69" t="s">
        <v>33</v>
      </c>
      <c r="K35" s="47" t="s">
        <v>119</v>
      </c>
      <c r="L35" s="66">
        <v>44.0</v>
      </c>
      <c r="M35" s="47" t="s">
        <v>119</v>
      </c>
      <c r="N35" s="66" t="s">
        <v>23</v>
      </c>
      <c r="O35" s="47" t="s">
        <v>119</v>
      </c>
      <c r="P35" s="66" t="s">
        <v>23</v>
      </c>
      <c r="Q35" s="47" t="s">
        <v>119</v>
      </c>
      <c r="R35" s="66" t="s">
        <v>23</v>
      </c>
      <c r="S35" s="47" t="s">
        <v>119</v>
      </c>
      <c r="T35" s="67"/>
      <c r="U35" s="68" t="b">
        <v>0</v>
      </c>
      <c r="V35" s="69" t="s">
        <v>24</v>
      </c>
      <c r="W35" s="54"/>
      <c r="X35" s="69" t="s">
        <v>24</v>
      </c>
      <c r="Y35" s="54"/>
      <c r="Z35" s="66" t="s">
        <v>24</v>
      </c>
      <c r="AA35" s="54"/>
      <c r="AB35" s="66" t="s">
        <v>24</v>
      </c>
      <c r="AC35" s="54"/>
      <c r="AD35" s="66" t="s">
        <v>24</v>
      </c>
      <c r="AE35" s="54"/>
      <c r="AF35" s="66" t="s">
        <v>24</v>
      </c>
      <c r="AG35" s="54"/>
      <c r="AH35" s="55"/>
      <c r="AI35" s="93"/>
      <c r="AJ35" s="94"/>
      <c r="AK35" s="93"/>
      <c r="AL35" s="94"/>
      <c r="AM35" s="93"/>
      <c r="AN35" s="94"/>
      <c r="AO35" s="16"/>
      <c r="AP35" s="16"/>
      <c r="AQ35" s="16"/>
      <c r="AR35" s="16"/>
      <c r="AS35" s="16"/>
      <c r="AT35" s="16"/>
      <c r="AU35" s="16"/>
    </row>
    <row r="36" ht="15.75" customHeight="1">
      <c r="A36" s="39"/>
      <c r="B36" s="58" t="s">
        <v>17</v>
      </c>
      <c r="C36" s="59" t="s">
        <v>120</v>
      </c>
      <c r="D36" s="60" t="s">
        <v>98</v>
      </c>
      <c r="E36" s="61" t="s">
        <v>121</v>
      </c>
      <c r="F36" s="62"/>
      <c r="G36" s="63" t="b">
        <v>1</v>
      </c>
      <c r="H36" s="69" t="s">
        <v>33</v>
      </c>
      <c r="I36" s="47" t="s">
        <v>122</v>
      </c>
      <c r="J36" s="69" t="s">
        <v>33</v>
      </c>
      <c r="K36" s="47" t="s">
        <v>122</v>
      </c>
      <c r="L36" s="66">
        <v>44.0</v>
      </c>
      <c r="M36" s="47" t="s">
        <v>122</v>
      </c>
      <c r="N36" s="66" t="s">
        <v>23</v>
      </c>
      <c r="O36" s="47" t="s">
        <v>122</v>
      </c>
      <c r="P36" s="66" t="s">
        <v>23</v>
      </c>
      <c r="Q36" s="47" t="s">
        <v>122</v>
      </c>
      <c r="R36" s="66" t="s">
        <v>23</v>
      </c>
      <c r="S36" s="47" t="s">
        <v>122</v>
      </c>
      <c r="T36" s="67"/>
      <c r="U36" s="68" t="b">
        <v>0</v>
      </c>
      <c r="V36" s="69" t="s">
        <v>24</v>
      </c>
      <c r="W36" s="54"/>
      <c r="X36" s="69" t="s">
        <v>24</v>
      </c>
      <c r="Y36" s="54"/>
      <c r="Z36" s="66" t="s">
        <v>24</v>
      </c>
      <c r="AA36" s="54"/>
      <c r="AB36" s="66" t="s">
        <v>24</v>
      </c>
      <c r="AC36" s="54"/>
      <c r="AD36" s="66" t="s">
        <v>24</v>
      </c>
      <c r="AE36" s="54"/>
      <c r="AF36" s="66" t="s">
        <v>24</v>
      </c>
      <c r="AG36" s="54"/>
      <c r="AH36" s="55"/>
      <c r="AI36" s="93"/>
      <c r="AJ36" s="94"/>
      <c r="AK36" s="93"/>
      <c r="AL36" s="94"/>
      <c r="AM36" s="93"/>
      <c r="AN36" s="94"/>
      <c r="AO36" s="16"/>
      <c r="AP36" s="16"/>
      <c r="AQ36" s="16"/>
      <c r="AR36" s="16"/>
      <c r="AS36" s="16"/>
      <c r="AT36" s="16"/>
      <c r="AU36" s="16"/>
    </row>
    <row r="37" ht="15.75" customHeight="1">
      <c r="A37" s="39"/>
      <c r="B37" s="72" t="s">
        <v>17</v>
      </c>
      <c r="C37" s="59" t="s">
        <v>123</v>
      </c>
      <c r="D37" s="60" t="s">
        <v>98</v>
      </c>
      <c r="E37" s="61" t="s">
        <v>124</v>
      </c>
      <c r="F37" s="62"/>
      <c r="G37" s="63" t="b">
        <v>1</v>
      </c>
      <c r="H37" s="69" t="s">
        <v>21</v>
      </c>
      <c r="I37" s="47" t="s">
        <v>125</v>
      </c>
      <c r="J37" s="69" t="s">
        <v>21</v>
      </c>
      <c r="K37" s="47" t="s">
        <v>125</v>
      </c>
      <c r="L37" s="66">
        <v>43.0</v>
      </c>
      <c r="M37" s="47"/>
      <c r="N37" s="66" t="s">
        <v>23</v>
      </c>
      <c r="O37" s="47" t="s">
        <v>125</v>
      </c>
      <c r="P37" s="66" t="s">
        <v>23</v>
      </c>
      <c r="Q37" s="47" t="s">
        <v>125</v>
      </c>
      <c r="R37" s="66" t="s">
        <v>23</v>
      </c>
      <c r="S37" s="47" t="s">
        <v>125</v>
      </c>
      <c r="T37" s="67"/>
      <c r="U37" s="68" t="b">
        <v>0</v>
      </c>
      <c r="V37" s="69" t="s">
        <v>24</v>
      </c>
      <c r="W37" s="54"/>
      <c r="X37" s="69" t="s">
        <v>24</v>
      </c>
      <c r="Y37" s="54"/>
      <c r="Z37" s="66" t="s">
        <v>24</v>
      </c>
      <c r="AA37" s="54"/>
      <c r="AB37" s="66" t="s">
        <v>24</v>
      </c>
      <c r="AC37" s="54"/>
      <c r="AD37" s="66" t="s">
        <v>24</v>
      </c>
      <c r="AE37" s="54"/>
      <c r="AF37" s="66" t="s">
        <v>24</v>
      </c>
      <c r="AG37" s="54"/>
      <c r="AH37" s="55"/>
      <c r="AI37" s="93"/>
      <c r="AJ37" s="94"/>
      <c r="AK37" s="93"/>
      <c r="AL37" s="94"/>
      <c r="AM37" s="93"/>
      <c r="AN37" s="94"/>
      <c r="AO37" s="16"/>
      <c r="AP37" s="16"/>
      <c r="AQ37" s="16"/>
      <c r="AR37" s="16"/>
      <c r="AS37" s="16"/>
      <c r="AT37" s="16"/>
      <c r="AU37" s="16"/>
    </row>
    <row r="38" ht="15.75" customHeight="1">
      <c r="A38" s="39"/>
      <c r="B38" s="72" t="s">
        <v>17</v>
      </c>
      <c r="C38" s="59" t="s">
        <v>126</v>
      </c>
      <c r="D38" s="60" t="s">
        <v>98</v>
      </c>
      <c r="E38" s="61" t="s">
        <v>127</v>
      </c>
      <c r="F38" s="62"/>
      <c r="G38" s="63" t="b">
        <v>1</v>
      </c>
      <c r="H38" s="69" t="s">
        <v>21</v>
      </c>
      <c r="I38" s="47" t="s">
        <v>128</v>
      </c>
      <c r="J38" s="69" t="s">
        <v>21</v>
      </c>
      <c r="K38" s="47" t="s">
        <v>128</v>
      </c>
      <c r="L38" s="66" t="s">
        <v>24</v>
      </c>
      <c r="M38" s="47"/>
      <c r="N38" s="66" t="s">
        <v>24</v>
      </c>
      <c r="O38" s="47"/>
      <c r="P38" s="66" t="s">
        <v>23</v>
      </c>
      <c r="Q38" s="47" t="s">
        <v>128</v>
      </c>
      <c r="R38" s="66" t="s">
        <v>24</v>
      </c>
      <c r="S38" s="47" t="s">
        <v>128</v>
      </c>
      <c r="T38" s="67"/>
      <c r="U38" s="68" t="b">
        <v>1</v>
      </c>
      <c r="V38" s="69" t="s">
        <v>24</v>
      </c>
      <c r="W38" s="54"/>
      <c r="X38" s="69" t="s">
        <v>24</v>
      </c>
      <c r="Y38" s="54"/>
      <c r="Z38" s="66">
        <v>46.0</v>
      </c>
      <c r="AA38" s="54" t="s">
        <v>129</v>
      </c>
      <c r="AB38" s="66" t="s">
        <v>23</v>
      </c>
      <c r="AC38" s="54" t="s">
        <v>129</v>
      </c>
      <c r="AD38" s="66" t="s">
        <v>24</v>
      </c>
      <c r="AE38" s="54"/>
      <c r="AF38" s="66" t="s">
        <v>24</v>
      </c>
      <c r="AG38" s="54"/>
      <c r="AH38" s="55"/>
      <c r="AI38" s="93"/>
      <c r="AJ38" s="94"/>
      <c r="AK38" s="93"/>
      <c r="AL38" s="94"/>
      <c r="AM38" s="93"/>
      <c r="AN38" s="94"/>
      <c r="AO38" s="16"/>
      <c r="AP38" s="16"/>
      <c r="AQ38" s="16"/>
      <c r="AR38" s="16"/>
      <c r="AS38" s="16"/>
      <c r="AT38" s="16"/>
      <c r="AU38" s="16"/>
    </row>
    <row r="39" ht="15.75" customHeight="1">
      <c r="A39" s="39"/>
      <c r="B39" s="72" t="s">
        <v>17</v>
      </c>
      <c r="C39" s="59" t="s">
        <v>130</v>
      </c>
      <c r="D39" s="60" t="s">
        <v>98</v>
      </c>
      <c r="E39" s="61" t="s">
        <v>131</v>
      </c>
      <c r="F39" s="62"/>
      <c r="G39" s="63" t="b">
        <v>1</v>
      </c>
      <c r="H39" s="69" t="s">
        <v>33</v>
      </c>
      <c r="I39" s="47" t="s">
        <v>132</v>
      </c>
      <c r="J39" s="69" t="s">
        <v>33</v>
      </c>
      <c r="K39" s="47" t="s">
        <v>132</v>
      </c>
      <c r="L39" s="66" t="s">
        <v>24</v>
      </c>
      <c r="M39" s="47"/>
      <c r="N39" s="66" t="s">
        <v>24</v>
      </c>
      <c r="O39" s="47"/>
      <c r="P39" s="66" t="s">
        <v>24</v>
      </c>
      <c r="Q39" s="47"/>
      <c r="R39" s="66" t="s">
        <v>24</v>
      </c>
      <c r="S39" s="86"/>
      <c r="T39" s="67"/>
      <c r="U39" s="68" t="b">
        <v>1</v>
      </c>
      <c r="V39" s="69" t="s">
        <v>24</v>
      </c>
      <c r="W39" s="54"/>
      <c r="X39" s="69" t="s">
        <v>24</v>
      </c>
      <c r="Y39" s="54"/>
      <c r="Z39" s="66">
        <v>44.0</v>
      </c>
      <c r="AA39" s="54" t="s">
        <v>133</v>
      </c>
      <c r="AB39" s="66" t="s">
        <v>23</v>
      </c>
      <c r="AC39" s="54" t="s">
        <v>133</v>
      </c>
      <c r="AD39" s="66" t="s">
        <v>23</v>
      </c>
      <c r="AE39" s="54" t="s">
        <v>133</v>
      </c>
      <c r="AF39" s="66" t="s">
        <v>23</v>
      </c>
      <c r="AG39" s="54" t="s">
        <v>133</v>
      </c>
      <c r="AH39" s="55"/>
      <c r="AI39" s="93"/>
      <c r="AJ39" s="94"/>
      <c r="AK39" s="93"/>
      <c r="AL39" s="94"/>
      <c r="AM39" s="93"/>
      <c r="AN39" s="94"/>
      <c r="AO39" s="16"/>
      <c r="AP39" s="16"/>
      <c r="AQ39" s="16"/>
      <c r="AR39" s="16"/>
      <c r="AS39" s="16"/>
      <c r="AT39" s="16"/>
      <c r="AU39" s="16"/>
    </row>
    <row r="40" ht="15.75" customHeight="1">
      <c r="A40" s="39"/>
      <c r="B40" s="72" t="s">
        <v>17</v>
      </c>
      <c r="C40" s="59" t="s">
        <v>134</v>
      </c>
      <c r="D40" s="60" t="s">
        <v>98</v>
      </c>
      <c r="E40" s="61" t="s">
        <v>135</v>
      </c>
      <c r="F40" s="62"/>
      <c r="G40" s="63" t="b">
        <v>1</v>
      </c>
      <c r="H40" s="69" t="s">
        <v>33</v>
      </c>
      <c r="I40" s="47" t="s">
        <v>136</v>
      </c>
      <c r="J40" s="69" t="s">
        <v>33</v>
      </c>
      <c r="K40" s="47" t="s">
        <v>136</v>
      </c>
      <c r="L40" s="66">
        <v>43.0</v>
      </c>
      <c r="M40" s="47" t="s">
        <v>136</v>
      </c>
      <c r="N40" s="66" t="s">
        <v>23</v>
      </c>
      <c r="O40" s="47" t="s">
        <v>136</v>
      </c>
      <c r="P40" s="66" t="s">
        <v>23</v>
      </c>
      <c r="Q40" s="47" t="s">
        <v>136</v>
      </c>
      <c r="R40" s="66" t="s">
        <v>23</v>
      </c>
      <c r="S40" s="47" t="s">
        <v>136</v>
      </c>
      <c r="T40" s="67"/>
      <c r="U40" s="68" t="b">
        <v>0</v>
      </c>
      <c r="V40" s="69" t="s">
        <v>24</v>
      </c>
      <c r="W40" s="54"/>
      <c r="X40" s="69" t="s">
        <v>24</v>
      </c>
      <c r="Y40" s="54"/>
      <c r="Z40" s="66" t="s">
        <v>24</v>
      </c>
      <c r="AA40" s="54"/>
      <c r="AB40" s="66" t="s">
        <v>24</v>
      </c>
      <c r="AC40" s="54"/>
      <c r="AD40" s="66" t="s">
        <v>24</v>
      </c>
      <c r="AE40" s="54"/>
      <c r="AF40" s="66" t="s">
        <v>24</v>
      </c>
      <c r="AG40" s="54"/>
      <c r="AH40" s="55"/>
      <c r="AI40" s="93"/>
      <c r="AJ40" s="94"/>
      <c r="AK40" s="93"/>
      <c r="AL40" s="94"/>
      <c r="AM40" s="93"/>
      <c r="AN40" s="94"/>
      <c r="AO40" s="16"/>
      <c r="AP40" s="16"/>
      <c r="AQ40" s="16"/>
      <c r="AR40" s="16"/>
      <c r="AS40" s="16"/>
      <c r="AT40" s="16"/>
      <c r="AU40" s="16"/>
    </row>
    <row r="41" ht="15.75" customHeight="1">
      <c r="A41" s="39"/>
      <c r="B41" s="72" t="s">
        <v>17</v>
      </c>
      <c r="C41" s="59" t="s">
        <v>137</v>
      </c>
      <c r="D41" s="60" t="s">
        <v>112</v>
      </c>
      <c r="E41" s="61" t="s">
        <v>138</v>
      </c>
      <c r="F41" s="62"/>
      <c r="G41" s="63" t="b">
        <v>1</v>
      </c>
      <c r="H41" s="69" t="s">
        <v>21</v>
      </c>
      <c r="I41" s="47" t="s">
        <v>139</v>
      </c>
      <c r="J41" s="69" t="s">
        <v>21</v>
      </c>
      <c r="K41" s="47" t="s">
        <v>139</v>
      </c>
      <c r="L41" s="66">
        <v>45.0</v>
      </c>
      <c r="M41" s="47" t="s">
        <v>139</v>
      </c>
      <c r="N41" s="66" t="s">
        <v>24</v>
      </c>
      <c r="O41" s="47"/>
      <c r="P41" s="66" t="s">
        <v>24</v>
      </c>
      <c r="Q41" s="47"/>
      <c r="R41" s="66" t="s">
        <v>23</v>
      </c>
      <c r="S41" s="47" t="s">
        <v>139</v>
      </c>
      <c r="T41" s="67"/>
      <c r="U41" s="68" t="b">
        <v>1</v>
      </c>
      <c r="V41" s="69" t="s">
        <v>24</v>
      </c>
      <c r="W41" s="54"/>
      <c r="X41" s="69" t="s">
        <v>24</v>
      </c>
      <c r="Y41" s="54"/>
      <c r="Z41" s="66" t="s">
        <v>24</v>
      </c>
      <c r="AA41" s="54"/>
      <c r="AB41" s="66" t="s">
        <v>23</v>
      </c>
      <c r="AC41" s="54" t="s">
        <v>140</v>
      </c>
      <c r="AD41" s="66" t="s">
        <v>23</v>
      </c>
      <c r="AE41" s="54" t="s">
        <v>140</v>
      </c>
      <c r="AF41" s="66" t="s">
        <v>24</v>
      </c>
      <c r="AG41" s="54"/>
      <c r="AH41" s="55"/>
      <c r="AI41" s="93"/>
      <c r="AJ41" s="94"/>
      <c r="AK41" s="93"/>
      <c r="AL41" s="94"/>
      <c r="AM41" s="93"/>
      <c r="AN41" s="94"/>
      <c r="AO41" s="16"/>
      <c r="AP41" s="16"/>
      <c r="AQ41" s="16"/>
      <c r="AR41" s="16"/>
      <c r="AS41" s="16"/>
      <c r="AT41" s="16"/>
      <c r="AU41" s="16"/>
    </row>
    <row r="42" ht="15.75" customHeight="1">
      <c r="A42" s="39"/>
      <c r="B42" s="72" t="s">
        <v>17</v>
      </c>
      <c r="C42" s="59" t="s">
        <v>141</v>
      </c>
      <c r="D42" s="60" t="s">
        <v>112</v>
      </c>
      <c r="E42" s="61" t="s">
        <v>142</v>
      </c>
      <c r="F42" s="62"/>
      <c r="G42" s="63" t="b">
        <v>1</v>
      </c>
      <c r="H42" s="69" t="s">
        <v>33</v>
      </c>
      <c r="I42" s="47" t="s">
        <v>143</v>
      </c>
      <c r="J42" s="69" t="s">
        <v>33</v>
      </c>
      <c r="K42" s="47" t="s">
        <v>143</v>
      </c>
      <c r="L42" s="66">
        <v>44.0</v>
      </c>
      <c r="M42" s="47" t="s">
        <v>143</v>
      </c>
      <c r="N42" s="66" t="s">
        <v>23</v>
      </c>
      <c r="O42" s="47" t="s">
        <v>143</v>
      </c>
      <c r="P42" s="66" t="s">
        <v>23</v>
      </c>
      <c r="Q42" s="47" t="s">
        <v>143</v>
      </c>
      <c r="R42" s="66" t="s">
        <v>23</v>
      </c>
      <c r="S42" s="47" t="s">
        <v>143</v>
      </c>
      <c r="T42" s="67"/>
      <c r="U42" s="68" t="b">
        <v>0</v>
      </c>
      <c r="V42" s="69" t="s">
        <v>24</v>
      </c>
      <c r="W42" s="54"/>
      <c r="X42" s="69" t="s">
        <v>24</v>
      </c>
      <c r="Y42" s="54"/>
      <c r="Z42" s="66" t="s">
        <v>24</v>
      </c>
      <c r="AA42" s="54"/>
      <c r="AB42" s="66" t="s">
        <v>24</v>
      </c>
      <c r="AC42" s="54"/>
      <c r="AD42" s="66" t="s">
        <v>24</v>
      </c>
      <c r="AE42" s="54"/>
      <c r="AF42" s="66" t="s">
        <v>24</v>
      </c>
      <c r="AG42" s="54"/>
      <c r="AH42" s="55"/>
      <c r="AI42" s="93"/>
      <c r="AJ42" s="94"/>
      <c r="AK42" s="93"/>
      <c r="AL42" s="94"/>
      <c r="AM42" s="93"/>
      <c r="AN42" s="94"/>
      <c r="AO42" s="16"/>
      <c r="AP42" s="16"/>
      <c r="AQ42" s="16"/>
      <c r="AR42" s="16"/>
      <c r="AS42" s="16"/>
      <c r="AT42" s="16"/>
      <c r="AU42" s="16"/>
    </row>
    <row r="43" ht="15.75" customHeight="1">
      <c r="A43" s="39"/>
      <c r="B43" s="72" t="s">
        <v>144</v>
      </c>
      <c r="C43" s="59" t="s">
        <v>145</v>
      </c>
      <c r="D43" s="60" t="s">
        <v>19</v>
      </c>
      <c r="E43" s="61" t="s">
        <v>146</v>
      </c>
      <c r="F43" s="62"/>
      <c r="G43" s="63" t="b">
        <v>1</v>
      </c>
      <c r="H43" s="69" t="s">
        <v>33</v>
      </c>
      <c r="I43" s="47" t="s">
        <v>147</v>
      </c>
      <c r="J43" s="69" t="s">
        <v>33</v>
      </c>
      <c r="K43" s="47" t="s">
        <v>147</v>
      </c>
      <c r="L43" s="66" t="s">
        <v>24</v>
      </c>
      <c r="M43" s="47"/>
      <c r="N43" s="66" t="s">
        <v>24</v>
      </c>
      <c r="O43" s="47"/>
      <c r="P43" s="66" t="s">
        <v>23</v>
      </c>
      <c r="Q43" s="47" t="s">
        <v>147</v>
      </c>
      <c r="R43" s="66" t="s">
        <v>23</v>
      </c>
      <c r="S43" s="47" t="s">
        <v>147</v>
      </c>
      <c r="T43" s="67"/>
      <c r="U43" s="68" t="b">
        <v>1</v>
      </c>
      <c r="V43" s="69" t="s">
        <v>24</v>
      </c>
      <c r="W43" s="54"/>
      <c r="X43" s="69" t="s">
        <v>24</v>
      </c>
      <c r="Y43" s="54"/>
      <c r="Z43" s="66">
        <v>42.0</v>
      </c>
      <c r="AA43" s="54" t="s">
        <v>148</v>
      </c>
      <c r="AB43" s="66" t="s">
        <v>23</v>
      </c>
      <c r="AC43" s="54" t="s">
        <v>148</v>
      </c>
      <c r="AD43" s="66" t="s">
        <v>24</v>
      </c>
      <c r="AE43" s="54"/>
      <c r="AF43" s="66" t="s">
        <v>24</v>
      </c>
      <c r="AG43" s="54"/>
      <c r="AH43" s="55"/>
      <c r="AI43" s="93"/>
      <c r="AJ43" s="94"/>
      <c r="AK43" s="93"/>
      <c r="AL43" s="94"/>
      <c r="AM43" s="93"/>
      <c r="AN43" s="94"/>
      <c r="AO43" s="16"/>
      <c r="AP43" s="16"/>
      <c r="AQ43" s="16"/>
      <c r="AR43" s="16"/>
      <c r="AS43" s="16"/>
      <c r="AT43" s="16"/>
      <c r="AU43" s="16"/>
    </row>
    <row r="44" ht="15.75" customHeight="1">
      <c r="A44" s="39"/>
      <c r="B44" s="72" t="s">
        <v>144</v>
      </c>
      <c r="C44" s="59" t="s">
        <v>149</v>
      </c>
      <c r="D44" s="60" t="s">
        <v>62</v>
      </c>
      <c r="E44" s="61" t="s">
        <v>150</v>
      </c>
      <c r="F44" s="62"/>
      <c r="G44" s="63" t="b">
        <v>0</v>
      </c>
      <c r="H44" s="69" t="s">
        <v>24</v>
      </c>
      <c r="I44" s="47"/>
      <c r="J44" s="69" t="s">
        <v>24</v>
      </c>
      <c r="K44" s="47"/>
      <c r="L44" s="66" t="s">
        <v>24</v>
      </c>
      <c r="M44" s="47"/>
      <c r="N44" s="66" t="s">
        <v>24</v>
      </c>
      <c r="O44" s="47"/>
      <c r="P44" s="66" t="s">
        <v>24</v>
      </c>
      <c r="Q44" s="47"/>
      <c r="R44" s="66" t="s">
        <v>24</v>
      </c>
      <c r="S44" s="86"/>
      <c r="T44" s="67"/>
      <c r="U44" s="68" t="b">
        <v>0</v>
      </c>
      <c r="V44" s="69" t="s">
        <v>24</v>
      </c>
      <c r="W44" s="54"/>
      <c r="X44" s="69" t="s">
        <v>24</v>
      </c>
      <c r="Y44" s="54"/>
      <c r="Z44" s="66" t="s">
        <v>24</v>
      </c>
      <c r="AA44" s="54"/>
      <c r="AB44" s="66" t="s">
        <v>24</v>
      </c>
      <c r="AC44" s="54"/>
      <c r="AD44" s="66" t="s">
        <v>24</v>
      </c>
      <c r="AE44" s="54"/>
      <c r="AF44" s="66" t="s">
        <v>24</v>
      </c>
      <c r="AG44" s="54"/>
      <c r="AH44" s="55"/>
      <c r="AI44" s="93"/>
      <c r="AJ44" s="94"/>
      <c r="AK44" s="93"/>
      <c r="AL44" s="94"/>
      <c r="AM44" s="93"/>
      <c r="AN44" s="94"/>
      <c r="AO44" s="16"/>
      <c r="AP44" s="16"/>
      <c r="AQ44" s="16"/>
      <c r="AR44" s="16"/>
      <c r="AS44" s="16"/>
      <c r="AT44" s="16"/>
      <c r="AU44" s="16"/>
    </row>
    <row r="45" ht="15.75" customHeight="1">
      <c r="A45" s="39"/>
      <c r="B45" s="72" t="s">
        <v>144</v>
      </c>
      <c r="C45" s="59" t="s">
        <v>151</v>
      </c>
      <c r="D45" s="60" t="s">
        <v>62</v>
      </c>
      <c r="E45" s="61" t="s">
        <v>152</v>
      </c>
      <c r="F45" s="62"/>
      <c r="G45" s="63" t="b">
        <v>0</v>
      </c>
      <c r="H45" s="69" t="s">
        <v>24</v>
      </c>
      <c r="I45" s="47"/>
      <c r="J45" s="69" t="s">
        <v>24</v>
      </c>
      <c r="K45" s="47"/>
      <c r="L45" s="66" t="s">
        <v>24</v>
      </c>
      <c r="M45" s="47"/>
      <c r="N45" s="66" t="s">
        <v>24</v>
      </c>
      <c r="O45" s="47"/>
      <c r="P45" s="66" t="s">
        <v>24</v>
      </c>
      <c r="Q45" s="47"/>
      <c r="R45" s="66" t="s">
        <v>24</v>
      </c>
      <c r="S45" s="86"/>
      <c r="T45" s="67"/>
      <c r="U45" s="68" t="b">
        <v>0</v>
      </c>
      <c r="V45" s="69" t="s">
        <v>24</v>
      </c>
      <c r="W45" s="54"/>
      <c r="X45" s="69" t="s">
        <v>24</v>
      </c>
      <c r="Y45" s="54"/>
      <c r="Z45" s="66" t="s">
        <v>24</v>
      </c>
      <c r="AA45" s="54"/>
      <c r="AB45" s="66" t="s">
        <v>24</v>
      </c>
      <c r="AC45" s="54"/>
      <c r="AD45" s="66" t="s">
        <v>24</v>
      </c>
      <c r="AE45" s="54"/>
      <c r="AF45" s="66" t="s">
        <v>24</v>
      </c>
      <c r="AG45" s="54"/>
      <c r="AH45" s="55"/>
      <c r="AI45" s="93"/>
      <c r="AJ45" s="94"/>
      <c r="AK45" s="93"/>
      <c r="AL45" s="94"/>
      <c r="AM45" s="93"/>
      <c r="AN45" s="94"/>
      <c r="AO45" s="16"/>
      <c r="AP45" s="16"/>
      <c r="AQ45" s="16"/>
      <c r="AR45" s="16"/>
      <c r="AS45" s="16"/>
      <c r="AT45" s="16"/>
      <c r="AU45" s="16"/>
    </row>
    <row r="46" ht="15.75" customHeight="1">
      <c r="A46" s="39"/>
      <c r="B46" s="72" t="s">
        <v>144</v>
      </c>
      <c r="C46" s="59" t="s">
        <v>153</v>
      </c>
      <c r="D46" s="60" t="s">
        <v>154</v>
      </c>
      <c r="E46" s="61" t="s">
        <v>155</v>
      </c>
      <c r="F46" s="62"/>
      <c r="G46" s="63" t="b">
        <v>1</v>
      </c>
      <c r="H46" s="69" t="s">
        <v>33</v>
      </c>
      <c r="I46" s="47" t="s">
        <v>156</v>
      </c>
      <c r="J46" s="69" t="s">
        <v>28</v>
      </c>
      <c r="K46" s="47" t="s">
        <v>156</v>
      </c>
      <c r="L46" s="66">
        <v>41.0</v>
      </c>
      <c r="M46" s="47" t="s">
        <v>156</v>
      </c>
      <c r="N46" s="66" t="s">
        <v>23</v>
      </c>
      <c r="O46" s="47" t="s">
        <v>156</v>
      </c>
      <c r="P46" s="66" t="s">
        <v>23</v>
      </c>
      <c r="Q46" s="47" t="s">
        <v>156</v>
      </c>
      <c r="R46" s="66" t="s">
        <v>23</v>
      </c>
      <c r="S46" s="47" t="s">
        <v>156</v>
      </c>
      <c r="T46" s="67"/>
      <c r="U46" s="68" t="b">
        <v>0</v>
      </c>
      <c r="V46" s="69" t="s">
        <v>24</v>
      </c>
      <c r="W46" s="54"/>
      <c r="X46" s="69" t="s">
        <v>24</v>
      </c>
      <c r="Y46" s="54"/>
      <c r="Z46" s="66" t="s">
        <v>24</v>
      </c>
      <c r="AA46" s="54"/>
      <c r="AB46" s="66" t="s">
        <v>24</v>
      </c>
      <c r="AC46" s="54"/>
      <c r="AD46" s="66" t="s">
        <v>24</v>
      </c>
      <c r="AE46" s="54"/>
      <c r="AF46" s="66" t="s">
        <v>24</v>
      </c>
      <c r="AG46" s="54"/>
      <c r="AH46" s="55"/>
      <c r="AI46" s="93"/>
      <c r="AJ46" s="94"/>
      <c r="AK46" s="93"/>
      <c r="AL46" s="94"/>
      <c r="AM46" s="93"/>
      <c r="AN46" s="94"/>
      <c r="AO46" s="16"/>
      <c r="AP46" s="16"/>
      <c r="AQ46" s="16"/>
      <c r="AR46" s="16"/>
      <c r="AS46" s="16"/>
      <c r="AT46" s="16"/>
      <c r="AU46" s="16"/>
    </row>
    <row r="47" ht="15.75" customHeight="1">
      <c r="A47" s="39"/>
      <c r="B47" s="72" t="s">
        <v>144</v>
      </c>
      <c r="C47" s="59" t="s">
        <v>157</v>
      </c>
      <c r="D47" s="60" t="s">
        <v>154</v>
      </c>
      <c r="E47" s="61" t="s">
        <v>158</v>
      </c>
      <c r="F47" s="62"/>
      <c r="G47" s="63" t="b">
        <v>1</v>
      </c>
      <c r="H47" s="69" t="s">
        <v>33</v>
      </c>
      <c r="I47" s="47" t="s">
        <v>159</v>
      </c>
      <c r="J47" s="69" t="s">
        <v>33</v>
      </c>
      <c r="K47" s="47" t="s">
        <v>159</v>
      </c>
      <c r="L47" s="66">
        <v>44.0</v>
      </c>
      <c r="M47" s="47" t="s">
        <v>159</v>
      </c>
      <c r="N47" s="66" t="s">
        <v>23</v>
      </c>
      <c r="O47" s="47" t="s">
        <v>159</v>
      </c>
      <c r="P47" s="66" t="s">
        <v>23</v>
      </c>
      <c r="Q47" s="47" t="s">
        <v>159</v>
      </c>
      <c r="R47" s="66" t="s">
        <v>23</v>
      </c>
      <c r="S47" s="47" t="s">
        <v>159</v>
      </c>
      <c r="T47" s="67"/>
      <c r="U47" s="68" t="b">
        <v>0</v>
      </c>
      <c r="V47" s="69" t="s">
        <v>24</v>
      </c>
      <c r="W47" s="54"/>
      <c r="X47" s="69" t="s">
        <v>24</v>
      </c>
      <c r="Y47" s="54"/>
      <c r="Z47" s="66" t="s">
        <v>24</v>
      </c>
      <c r="AA47" s="54"/>
      <c r="AB47" s="66" t="s">
        <v>24</v>
      </c>
      <c r="AC47" s="54"/>
      <c r="AD47" s="66" t="s">
        <v>24</v>
      </c>
      <c r="AE47" s="54"/>
      <c r="AF47" s="66" t="s">
        <v>24</v>
      </c>
      <c r="AG47" s="54"/>
      <c r="AH47" s="55"/>
      <c r="AI47" s="93"/>
      <c r="AJ47" s="94"/>
      <c r="AK47" s="93"/>
      <c r="AL47" s="94"/>
      <c r="AM47" s="93"/>
      <c r="AN47" s="94"/>
      <c r="AO47" s="16"/>
      <c r="AP47" s="16"/>
      <c r="AQ47" s="16"/>
      <c r="AR47" s="16"/>
      <c r="AS47" s="16"/>
      <c r="AT47" s="16"/>
      <c r="AU47" s="16"/>
    </row>
    <row r="48" ht="15.75" customHeight="1">
      <c r="A48" s="39"/>
      <c r="B48" s="72" t="s">
        <v>144</v>
      </c>
      <c r="C48" s="59" t="s">
        <v>160</v>
      </c>
      <c r="D48" s="60" t="s">
        <v>154</v>
      </c>
      <c r="E48" s="61" t="s">
        <v>161</v>
      </c>
      <c r="F48" s="62"/>
      <c r="G48" s="63" t="b">
        <v>1</v>
      </c>
      <c r="H48" s="69" t="s">
        <v>51</v>
      </c>
      <c r="I48" s="47" t="s">
        <v>162</v>
      </c>
      <c r="J48" s="69" t="s">
        <v>21</v>
      </c>
      <c r="K48" s="47" t="s">
        <v>162</v>
      </c>
      <c r="L48" s="66">
        <v>44.0</v>
      </c>
      <c r="M48" s="47" t="s">
        <v>162</v>
      </c>
      <c r="N48" s="66" t="s">
        <v>24</v>
      </c>
      <c r="O48" s="47"/>
      <c r="P48" s="66" t="s">
        <v>23</v>
      </c>
      <c r="Q48" s="47" t="s">
        <v>162</v>
      </c>
      <c r="R48" s="66" t="s">
        <v>23</v>
      </c>
      <c r="S48" s="47" t="s">
        <v>162</v>
      </c>
      <c r="T48" s="67"/>
      <c r="U48" s="68" t="b">
        <v>1</v>
      </c>
      <c r="V48" s="69" t="s">
        <v>24</v>
      </c>
      <c r="W48" s="54"/>
      <c r="X48" s="69" t="s">
        <v>24</v>
      </c>
      <c r="Y48" s="54"/>
      <c r="Z48" s="66" t="s">
        <v>24</v>
      </c>
      <c r="AA48" s="54"/>
      <c r="AB48" s="66" t="s">
        <v>23</v>
      </c>
      <c r="AC48" s="54" t="s">
        <v>163</v>
      </c>
      <c r="AD48" s="66" t="s">
        <v>24</v>
      </c>
      <c r="AE48" s="54"/>
      <c r="AF48" s="66" t="s">
        <v>24</v>
      </c>
      <c r="AG48" s="54"/>
      <c r="AH48" s="55"/>
      <c r="AI48" s="93"/>
      <c r="AJ48" s="94"/>
      <c r="AK48" s="93"/>
      <c r="AL48" s="94"/>
      <c r="AM48" s="93"/>
      <c r="AN48" s="94"/>
      <c r="AO48" s="16"/>
      <c r="AP48" s="16"/>
      <c r="AQ48" s="16"/>
      <c r="AR48" s="16"/>
      <c r="AS48" s="16"/>
      <c r="AT48" s="16"/>
      <c r="AU48" s="16"/>
    </row>
    <row r="49" ht="15.75" customHeight="1">
      <c r="A49" s="39"/>
      <c r="B49" s="72" t="s">
        <v>144</v>
      </c>
      <c r="C49" s="59" t="s">
        <v>164</v>
      </c>
      <c r="D49" s="60" t="s">
        <v>154</v>
      </c>
      <c r="E49" s="61" t="s">
        <v>165</v>
      </c>
      <c r="F49" s="62"/>
      <c r="G49" s="63" t="b">
        <v>1</v>
      </c>
      <c r="H49" s="69" t="s">
        <v>33</v>
      </c>
      <c r="I49" s="47" t="s">
        <v>166</v>
      </c>
      <c r="J49" s="69" t="s">
        <v>33</v>
      </c>
      <c r="K49" s="47" t="s">
        <v>166</v>
      </c>
      <c r="L49" s="66" t="s">
        <v>24</v>
      </c>
      <c r="M49" s="47"/>
      <c r="N49" s="66" t="s">
        <v>23</v>
      </c>
      <c r="O49" s="47" t="s">
        <v>166</v>
      </c>
      <c r="P49" s="66" t="s">
        <v>23</v>
      </c>
      <c r="Q49" s="47" t="s">
        <v>166</v>
      </c>
      <c r="R49" s="66" t="s">
        <v>23</v>
      </c>
      <c r="S49" s="47" t="s">
        <v>166</v>
      </c>
      <c r="T49" s="67"/>
      <c r="U49" s="68" t="b">
        <v>1</v>
      </c>
      <c r="V49" s="69" t="s">
        <v>24</v>
      </c>
      <c r="W49" s="54"/>
      <c r="X49" s="69" t="s">
        <v>24</v>
      </c>
      <c r="Y49" s="54"/>
      <c r="Z49" s="66">
        <v>44.0</v>
      </c>
      <c r="AA49" s="54" t="s">
        <v>167</v>
      </c>
      <c r="AB49" s="66" t="s">
        <v>24</v>
      </c>
      <c r="AC49" s="54"/>
      <c r="AD49" s="66" t="s">
        <v>24</v>
      </c>
      <c r="AE49" s="54"/>
      <c r="AF49" s="66" t="s">
        <v>24</v>
      </c>
      <c r="AG49" s="54"/>
      <c r="AH49" s="55"/>
      <c r="AI49" s="93"/>
      <c r="AJ49" s="94"/>
      <c r="AK49" s="93"/>
      <c r="AL49" s="94"/>
      <c r="AM49" s="93"/>
      <c r="AN49" s="94"/>
      <c r="AO49" s="16"/>
      <c r="AP49" s="16"/>
      <c r="AQ49" s="16"/>
      <c r="AR49" s="16"/>
      <c r="AS49" s="16"/>
      <c r="AT49" s="16"/>
      <c r="AU49" s="16"/>
    </row>
    <row r="50" ht="15.75" customHeight="1">
      <c r="A50" s="39"/>
      <c r="B50" s="72" t="s">
        <v>144</v>
      </c>
      <c r="C50" s="59" t="s">
        <v>168</v>
      </c>
      <c r="D50" s="60" t="s">
        <v>62</v>
      </c>
      <c r="E50" s="61" t="s">
        <v>169</v>
      </c>
      <c r="F50" s="62"/>
      <c r="G50" s="63" t="b">
        <v>0</v>
      </c>
      <c r="H50" s="69" t="s">
        <v>24</v>
      </c>
      <c r="I50" s="47"/>
      <c r="J50" s="69" t="s">
        <v>24</v>
      </c>
      <c r="K50" s="47"/>
      <c r="L50" s="66" t="s">
        <v>24</v>
      </c>
      <c r="M50" s="47"/>
      <c r="N50" s="66" t="s">
        <v>24</v>
      </c>
      <c r="O50" s="47"/>
      <c r="P50" s="66" t="s">
        <v>24</v>
      </c>
      <c r="Q50" s="47"/>
      <c r="R50" s="66" t="s">
        <v>24</v>
      </c>
      <c r="S50" s="86"/>
      <c r="T50" s="67"/>
      <c r="U50" s="68" t="b">
        <v>0</v>
      </c>
      <c r="V50" s="69" t="s">
        <v>24</v>
      </c>
      <c r="W50" s="54"/>
      <c r="X50" s="69" t="s">
        <v>24</v>
      </c>
      <c r="Y50" s="54"/>
      <c r="Z50" s="66" t="s">
        <v>24</v>
      </c>
      <c r="AA50" s="54"/>
      <c r="AB50" s="66" t="s">
        <v>24</v>
      </c>
      <c r="AC50" s="54"/>
      <c r="AD50" s="66" t="s">
        <v>24</v>
      </c>
      <c r="AE50" s="54"/>
      <c r="AF50" s="66" t="s">
        <v>24</v>
      </c>
      <c r="AG50" s="54"/>
      <c r="AH50" s="55"/>
      <c r="AI50" s="93"/>
      <c r="AJ50" s="94"/>
      <c r="AK50" s="93"/>
      <c r="AL50" s="94"/>
      <c r="AM50" s="93"/>
      <c r="AN50" s="94"/>
      <c r="AO50" s="16"/>
      <c r="AP50" s="16"/>
      <c r="AQ50" s="16"/>
      <c r="AR50" s="16"/>
      <c r="AS50" s="16"/>
      <c r="AT50" s="16"/>
      <c r="AU50" s="16"/>
    </row>
    <row r="51" ht="15.75" customHeight="1">
      <c r="A51" s="39"/>
      <c r="B51" s="72" t="s">
        <v>144</v>
      </c>
      <c r="C51" s="59" t="s">
        <v>170</v>
      </c>
      <c r="D51" s="60" t="s">
        <v>154</v>
      </c>
      <c r="E51" s="61" t="s">
        <v>171</v>
      </c>
      <c r="F51" s="62"/>
      <c r="G51" s="63" t="b">
        <v>1</v>
      </c>
      <c r="H51" s="69" t="s">
        <v>33</v>
      </c>
      <c r="I51" s="47" t="s">
        <v>172</v>
      </c>
      <c r="J51" s="69" t="s">
        <v>33</v>
      </c>
      <c r="K51" s="47" t="s">
        <v>172</v>
      </c>
      <c r="L51" s="66">
        <v>42.0</v>
      </c>
      <c r="M51" s="47" t="s">
        <v>172</v>
      </c>
      <c r="N51" s="66" t="s">
        <v>23</v>
      </c>
      <c r="O51" s="47" t="s">
        <v>172</v>
      </c>
      <c r="P51" s="66" t="s">
        <v>23</v>
      </c>
      <c r="Q51" s="47" t="s">
        <v>172</v>
      </c>
      <c r="R51" s="66" t="s">
        <v>23</v>
      </c>
      <c r="S51" s="47" t="s">
        <v>172</v>
      </c>
      <c r="T51" s="67"/>
      <c r="U51" s="68" t="b">
        <v>0</v>
      </c>
      <c r="V51" s="69" t="s">
        <v>24</v>
      </c>
      <c r="W51" s="54"/>
      <c r="X51" s="69" t="s">
        <v>24</v>
      </c>
      <c r="Y51" s="54"/>
      <c r="Z51" s="66" t="s">
        <v>24</v>
      </c>
      <c r="AA51" s="54"/>
      <c r="AB51" s="66" t="s">
        <v>24</v>
      </c>
      <c r="AC51" s="54"/>
      <c r="AD51" s="66" t="s">
        <v>24</v>
      </c>
      <c r="AE51" s="54"/>
      <c r="AF51" s="66" t="s">
        <v>24</v>
      </c>
      <c r="AG51" s="54"/>
      <c r="AH51" s="55"/>
      <c r="AI51" s="93"/>
      <c r="AJ51" s="94"/>
      <c r="AK51" s="93"/>
      <c r="AL51" s="94"/>
      <c r="AM51" s="93"/>
      <c r="AN51" s="94"/>
      <c r="AO51" s="16"/>
      <c r="AP51" s="16"/>
      <c r="AQ51" s="16"/>
      <c r="AR51" s="16"/>
      <c r="AS51" s="16"/>
      <c r="AT51" s="16"/>
      <c r="AU51" s="16"/>
    </row>
    <row r="52" ht="15.75" customHeight="1">
      <c r="A52" s="39"/>
      <c r="B52" s="72" t="s">
        <v>144</v>
      </c>
      <c r="C52" s="59" t="s">
        <v>173</v>
      </c>
      <c r="D52" s="60" t="s">
        <v>98</v>
      </c>
      <c r="E52" s="61" t="s">
        <v>174</v>
      </c>
      <c r="F52" s="62"/>
      <c r="G52" s="63" t="b">
        <v>0</v>
      </c>
      <c r="H52" s="69" t="s">
        <v>24</v>
      </c>
      <c r="I52" s="47"/>
      <c r="J52" s="69" t="s">
        <v>24</v>
      </c>
      <c r="K52" s="47"/>
      <c r="L52" s="66" t="s">
        <v>24</v>
      </c>
      <c r="M52" s="47"/>
      <c r="N52" s="66" t="s">
        <v>24</v>
      </c>
      <c r="O52" s="47"/>
      <c r="P52" s="66" t="s">
        <v>24</v>
      </c>
      <c r="Q52" s="47"/>
      <c r="R52" s="66" t="s">
        <v>24</v>
      </c>
      <c r="S52" s="47"/>
      <c r="T52" s="67"/>
      <c r="U52" s="68" t="b">
        <v>1</v>
      </c>
      <c r="V52" s="69" t="s">
        <v>28</v>
      </c>
      <c r="W52" s="54" t="s">
        <v>175</v>
      </c>
      <c r="X52" s="69" t="s">
        <v>28</v>
      </c>
      <c r="Y52" s="54" t="s">
        <v>175</v>
      </c>
      <c r="Z52" s="66">
        <v>41.0</v>
      </c>
      <c r="AA52" s="54" t="s">
        <v>175</v>
      </c>
      <c r="AB52" s="66" t="s">
        <v>24</v>
      </c>
      <c r="AC52" s="54" t="s">
        <v>175</v>
      </c>
      <c r="AD52" s="66" t="s">
        <v>23</v>
      </c>
      <c r="AE52" s="54" t="s">
        <v>175</v>
      </c>
      <c r="AF52" s="66" t="s">
        <v>23</v>
      </c>
      <c r="AG52" s="54" t="s">
        <v>175</v>
      </c>
      <c r="AH52" s="55"/>
      <c r="AI52" s="93"/>
      <c r="AJ52" s="94"/>
      <c r="AK52" s="93"/>
      <c r="AL52" s="94"/>
      <c r="AM52" s="93"/>
      <c r="AN52" s="94"/>
      <c r="AO52" s="16"/>
      <c r="AP52" s="16"/>
      <c r="AQ52" s="16"/>
      <c r="AR52" s="16"/>
      <c r="AS52" s="16"/>
      <c r="AT52" s="16"/>
      <c r="AU52" s="16"/>
    </row>
    <row r="53" ht="15.75" customHeight="1">
      <c r="A53" s="39"/>
      <c r="B53" s="72" t="s">
        <v>144</v>
      </c>
      <c r="C53" s="59" t="s">
        <v>176</v>
      </c>
      <c r="D53" s="60" t="s">
        <v>98</v>
      </c>
      <c r="E53" s="61">
        <v>7691190.0</v>
      </c>
      <c r="F53" s="62"/>
      <c r="G53" s="63" t="b">
        <v>0</v>
      </c>
      <c r="H53" s="69" t="s">
        <v>24</v>
      </c>
      <c r="I53" s="47"/>
      <c r="J53" s="69" t="s">
        <v>24</v>
      </c>
      <c r="K53" s="47"/>
      <c r="L53" s="66" t="s">
        <v>24</v>
      </c>
      <c r="M53" s="47"/>
      <c r="N53" s="66" t="s">
        <v>24</v>
      </c>
      <c r="O53" s="47"/>
      <c r="P53" s="66" t="s">
        <v>24</v>
      </c>
      <c r="Q53" s="47"/>
      <c r="R53" s="66" t="s">
        <v>24</v>
      </c>
      <c r="S53" s="47"/>
      <c r="T53" s="67"/>
      <c r="U53" s="68" t="b">
        <v>1</v>
      </c>
      <c r="V53" s="69" t="s">
        <v>21</v>
      </c>
      <c r="W53" s="54" t="s">
        <v>177</v>
      </c>
      <c r="X53" s="69" t="s">
        <v>21</v>
      </c>
      <c r="Y53" s="54" t="s">
        <v>177</v>
      </c>
      <c r="Z53" s="66">
        <v>44.0</v>
      </c>
      <c r="AA53" s="54" t="s">
        <v>177</v>
      </c>
      <c r="AB53" s="66" t="s">
        <v>23</v>
      </c>
      <c r="AC53" s="54" t="s">
        <v>177</v>
      </c>
      <c r="AD53" s="66" t="s">
        <v>23</v>
      </c>
      <c r="AE53" s="54" t="s">
        <v>177</v>
      </c>
      <c r="AF53" s="66" t="s">
        <v>23</v>
      </c>
      <c r="AG53" s="54" t="s">
        <v>177</v>
      </c>
      <c r="AH53" s="55"/>
      <c r="AI53" s="93"/>
      <c r="AJ53" s="94"/>
      <c r="AK53" s="93"/>
      <c r="AL53" s="94"/>
      <c r="AM53" s="93"/>
      <c r="AN53" s="94"/>
      <c r="AO53" s="16"/>
      <c r="AP53" s="16"/>
      <c r="AQ53" s="16"/>
      <c r="AR53" s="16"/>
      <c r="AS53" s="16"/>
      <c r="AT53" s="16"/>
      <c r="AU53" s="16"/>
    </row>
    <row r="54" ht="15.75" customHeight="1">
      <c r="A54" s="39"/>
      <c r="B54" s="72" t="s">
        <v>144</v>
      </c>
      <c r="C54" s="59" t="s">
        <v>178</v>
      </c>
      <c r="D54" s="60" t="s">
        <v>98</v>
      </c>
      <c r="E54" s="61">
        <v>7693346.0</v>
      </c>
      <c r="F54" s="62"/>
      <c r="G54" s="63" t="b">
        <v>1</v>
      </c>
      <c r="H54" s="69" t="s">
        <v>28</v>
      </c>
      <c r="I54" s="47" t="s">
        <v>179</v>
      </c>
      <c r="J54" s="69" t="s">
        <v>28</v>
      </c>
      <c r="K54" s="47" t="s">
        <v>179</v>
      </c>
      <c r="L54" s="66">
        <v>42.0</v>
      </c>
      <c r="M54" s="47" t="s">
        <v>179</v>
      </c>
      <c r="N54" s="66" t="s">
        <v>23</v>
      </c>
      <c r="O54" s="47" t="s">
        <v>179</v>
      </c>
      <c r="P54" s="66" t="s">
        <v>23</v>
      </c>
      <c r="Q54" s="47" t="s">
        <v>179</v>
      </c>
      <c r="R54" s="66" t="s">
        <v>23</v>
      </c>
      <c r="S54" s="47" t="s">
        <v>179</v>
      </c>
      <c r="T54" s="67"/>
      <c r="U54" s="68" t="b">
        <v>0</v>
      </c>
      <c r="V54" s="69" t="s">
        <v>24</v>
      </c>
      <c r="W54" s="54"/>
      <c r="X54" s="69" t="s">
        <v>24</v>
      </c>
      <c r="Y54" s="54"/>
      <c r="Z54" s="66" t="s">
        <v>24</v>
      </c>
      <c r="AA54" s="54"/>
      <c r="AB54" s="66" t="s">
        <v>24</v>
      </c>
      <c r="AC54" s="54"/>
      <c r="AD54" s="66" t="s">
        <v>24</v>
      </c>
      <c r="AE54" s="54"/>
      <c r="AF54" s="66" t="s">
        <v>24</v>
      </c>
      <c r="AG54" s="54"/>
      <c r="AH54" s="55"/>
      <c r="AI54" s="93"/>
      <c r="AJ54" s="94"/>
      <c r="AK54" s="93"/>
      <c r="AL54" s="94"/>
      <c r="AM54" s="93"/>
      <c r="AN54" s="94"/>
      <c r="AO54" s="16"/>
      <c r="AP54" s="16"/>
      <c r="AQ54" s="16"/>
      <c r="AR54" s="16"/>
      <c r="AS54" s="16"/>
      <c r="AT54" s="16"/>
      <c r="AU54" s="16"/>
    </row>
    <row r="55" ht="15.75" customHeight="1">
      <c r="A55" s="39"/>
      <c r="B55" s="72" t="s">
        <v>144</v>
      </c>
      <c r="C55" s="59" t="s">
        <v>180</v>
      </c>
      <c r="D55" s="60" t="s">
        <v>87</v>
      </c>
      <c r="E55" s="61" t="s">
        <v>181</v>
      </c>
      <c r="F55" s="62"/>
      <c r="G55" s="63" t="b">
        <v>0</v>
      </c>
      <c r="H55" s="69" t="s">
        <v>24</v>
      </c>
      <c r="I55" s="47"/>
      <c r="J55" s="69" t="s">
        <v>24</v>
      </c>
      <c r="K55" s="47"/>
      <c r="L55" s="66" t="s">
        <v>24</v>
      </c>
      <c r="M55" s="47"/>
      <c r="N55" s="66" t="s">
        <v>24</v>
      </c>
      <c r="O55" s="47"/>
      <c r="P55" s="66" t="s">
        <v>24</v>
      </c>
      <c r="Q55" s="47"/>
      <c r="R55" s="66" t="s">
        <v>24</v>
      </c>
      <c r="S55" s="47"/>
      <c r="T55" s="67"/>
      <c r="U55" s="68" t="b">
        <v>1</v>
      </c>
      <c r="V55" s="69" t="s">
        <v>21</v>
      </c>
      <c r="W55" s="54" t="s">
        <v>182</v>
      </c>
      <c r="X55" s="69" t="s">
        <v>51</v>
      </c>
      <c r="Y55" s="54" t="s">
        <v>182</v>
      </c>
      <c r="Z55" s="66">
        <v>41.0</v>
      </c>
      <c r="AA55" s="54" t="s">
        <v>182</v>
      </c>
      <c r="AB55" s="66" t="s">
        <v>23</v>
      </c>
      <c r="AC55" s="54" t="s">
        <v>182</v>
      </c>
      <c r="AD55" s="66" t="s">
        <v>23</v>
      </c>
      <c r="AE55" s="54" t="s">
        <v>182</v>
      </c>
      <c r="AF55" s="66" t="s">
        <v>23</v>
      </c>
      <c r="AG55" s="54" t="s">
        <v>182</v>
      </c>
      <c r="AH55" s="55"/>
      <c r="AI55" s="93"/>
      <c r="AJ55" s="94"/>
      <c r="AK55" s="93"/>
      <c r="AL55" s="94"/>
      <c r="AM55" s="93"/>
      <c r="AN55" s="94"/>
      <c r="AO55" s="16"/>
      <c r="AP55" s="16"/>
      <c r="AQ55" s="16"/>
      <c r="AR55" s="16"/>
      <c r="AS55" s="16"/>
      <c r="AT55" s="16"/>
      <c r="AU55" s="16"/>
    </row>
    <row r="56" ht="15.75" customHeight="1">
      <c r="A56" s="39"/>
      <c r="B56" s="72" t="s">
        <v>144</v>
      </c>
      <c r="C56" s="59" t="s">
        <v>183</v>
      </c>
      <c r="D56" s="60" t="s">
        <v>98</v>
      </c>
      <c r="E56" s="61" t="s">
        <v>184</v>
      </c>
      <c r="F56" s="62"/>
      <c r="G56" s="63" t="b">
        <v>0</v>
      </c>
      <c r="H56" s="69" t="s">
        <v>24</v>
      </c>
      <c r="I56" s="47"/>
      <c r="J56" s="69" t="s">
        <v>24</v>
      </c>
      <c r="K56" s="47"/>
      <c r="L56" s="66" t="s">
        <v>24</v>
      </c>
      <c r="M56" s="47"/>
      <c r="N56" s="66" t="s">
        <v>24</v>
      </c>
      <c r="O56" s="47"/>
      <c r="P56" s="66" t="s">
        <v>24</v>
      </c>
      <c r="Q56" s="47"/>
      <c r="R56" s="66" t="s">
        <v>24</v>
      </c>
      <c r="S56" s="47"/>
      <c r="T56" s="67"/>
      <c r="U56" s="68" t="b">
        <v>1</v>
      </c>
      <c r="V56" s="69" t="s">
        <v>21</v>
      </c>
      <c r="W56" s="54" t="s">
        <v>185</v>
      </c>
      <c r="X56" s="69" t="s">
        <v>51</v>
      </c>
      <c r="Y56" s="54" t="s">
        <v>185</v>
      </c>
      <c r="Z56" s="66">
        <v>44.0</v>
      </c>
      <c r="AA56" s="54" t="s">
        <v>185</v>
      </c>
      <c r="AB56" s="66" t="s">
        <v>23</v>
      </c>
      <c r="AC56" s="54" t="s">
        <v>185</v>
      </c>
      <c r="AD56" s="66" t="s">
        <v>23</v>
      </c>
      <c r="AE56" s="54" t="s">
        <v>185</v>
      </c>
      <c r="AF56" s="66" t="s">
        <v>23</v>
      </c>
      <c r="AG56" s="54" t="s">
        <v>185</v>
      </c>
      <c r="AH56" s="55"/>
      <c r="AI56" s="93"/>
      <c r="AJ56" s="94"/>
      <c r="AK56" s="93"/>
      <c r="AL56" s="94"/>
      <c r="AM56" s="93"/>
      <c r="AN56" s="94"/>
      <c r="AO56" s="16"/>
      <c r="AP56" s="16"/>
      <c r="AQ56" s="16"/>
      <c r="AR56" s="16"/>
      <c r="AS56" s="16"/>
      <c r="AT56" s="16"/>
      <c r="AU56" s="16"/>
    </row>
    <row r="57" ht="15.75" customHeight="1">
      <c r="A57" s="39"/>
      <c r="B57" s="72" t="s">
        <v>144</v>
      </c>
      <c r="C57" s="59" t="s">
        <v>186</v>
      </c>
      <c r="D57" s="60" t="s">
        <v>98</v>
      </c>
      <c r="E57" s="61" t="s">
        <v>187</v>
      </c>
      <c r="F57" s="62"/>
      <c r="G57" s="63" t="b">
        <v>0</v>
      </c>
      <c r="H57" s="69" t="s">
        <v>24</v>
      </c>
      <c r="I57" s="47"/>
      <c r="J57" s="69" t="s">
        <v>24</v>
      </c>
      <c r="K57" s="47"/>
      <c r="L57" s="66" t="s">
        <v>24</v>
      </c>
      <c r="M57" s="47"/>
      <c r="N57" s="66" t="s">
        <v>24</v>
      </c>
      <c r="O57" s="47"/>
      <c r="P57" s="66" t="s">
        <v>24</v>
      </c>
      <c r="Q57" s="47"/>
      <c r="R57" s="66" t="s">
        <v>24</v>
      </c>
      <c r="S57" s="47"/>
      <c r="T57" s="67"/>
      <c r="U57" s="68" t="b">
        <v>1</v>
      </c>
      <c r="V57" s="69" t="s">
        <v>38</v>
      </c>
      <c r="W57" s="54" t="s">
        <v>188</v>
      </c>
      <c r="X57" s="69" t="s">
        <v>38</v>
      </c>
      <c r="Y57" s="54" t="s">
        <v>188</v>
      </c>
      <c r="Z57" s="66">
        <v>46.0</v>
      </c>
      <c r="AA57" s="54" t="s">
        <v>188</v>
      </c>
      <c r="AB57" s="66" t="s">
        <v>23</v>
      </c>
      <c r="AC57" s="54" t="s">
        <v>188</v>
      </c>
      <c r="AD57" s="66" t="s">
        <v>23</v>
      </c>
      <c r="AE57" s="54" t="s">
        <v>188</v>
      </c>
      <c r="AF57" s="66" t="s">
        <v>23</v>
      </c>
      <c r="AG57" s="54" t="s">
        <v>188</v>
      </c>
      <c r="AH57" s="55"/>
      <c r="AI57" s="93"/>
      <c r="AJ57" s="94"/>
      <c r="AK57" s="93"/>
      <c r="AL57" s="94"/>
      <c r="AM57" s="93"/>
      <c r="AN57" s="94"/>
      <c r="AO57" s="16"/>
      <c r="AP57" s="16"/>
      <c r="AQ57" s="16"/>
      <c r="AR57" s="16"/>
      <c r="AS57" s="16"/>
      <c r="AT57" s="16"/>
      <c r="AU57" s="16"/>
    </row>
    <row r="58" ht="15.75" customHeight="1">
      <c r="A58" s="39"/>
      <c r="B58" s="72" t="s">
        <v>144</v>
      </c>
      <c r="C58" s="59" t="s">
        <v>189</v>
      </c>
      <c r="D58" s="60" t="s">
        <v>154</v>
      </c>
      <c r="E58" s="61" t="s">
        <v>190</v>
      </c>
      <c r="F58" s="62"/>
      <c r="G58" s="63" t="b">
        <v>1</v>
      </c>
      <c r="H58" s="69" t="s">
        <v>33</v>
      </c>
      <c r="I58" s="47" t="s">
        <v>191</v>
      </c>
      <c r="J58" s="69" t="s">
        <v>33</v>
      </c>
      <c r="K58" s="47" t="s">
        <v>191</v>
      </c>
      <c r="L58" s="66">
        <v>42.0</v>
      </c>
      <c r="M58" s="47" t="s">
        <v>191</v>
      </c>
      <c r="N58" s="66" t="s">
        <v>24</v>
      </c>
      <c r="O58" s="47"/>
      <c r="P58" s="66" t="s">
        <v>23</v>
      </c>
      <c r="Q58" s="47" t="s">
        <v>191</v>
      </c>
      <c r="R58" s="66" t="s">
        <v>23</v>
      </c>
      <c r="S58" s="47" t="s">
        <v>191</v>
      </c>
      <c r="T58" s="67"/>
      <c r="U58" s="68" t="b">
        <v>1</v>
      </c>
      <c r="V58" s="69" t="s">
        <v>24</v>
      </c>
      <c r="W58" s="54"/>
      <c r="X58" s="69" t="s">
        <v>24</v>
      </c>
      <c r="Y58" s="54"/>
      <c r="Z58" s="66" t="s">
        <v>24</v>
      </c>
      <c r="AA58" s="54"/>
      <c r="AB58" s="66" t="s">
        <v>23</v>
      </c>
      <c r="AC58" s="54" t="s">
        <v>192</v>
      </c>
      <c r="AD58" s="66" t="s">
        <v>24</v>
      </c>
      <c r="AE58" s="54"/>
      <c r="AF58" s="66" t="s">
        <v>24</v>
      </c>
      <c r="AG58" s="54"/>
      <c r="AH58" s="55"/>
      <c r="AI58" s="93"/>
      <c r="AJ58" s="94"/>
      <c r="AK58" s="93"/>
      <c r="AL58" s="94"/>
      <c r="AM58" s="93"/>
      <c r="AN58" s="94"/>
      <c r="AO58" s="16"/>
      <c r="AP58" s="16"/>
      <c r="AQ58" s="16"/>
      <c r="AR58" s="16"/>
      <c r="AS58" s="16"/>
      <c r="AT58" s="16"/>
      <c r="AU58" s="16"/>
    </row>
    <row r="59" ht="15.75" customHeight="1">
      <c r="A59" s="39"/>
      <c r="B59" s="72" t="s">
        <v>144</v>
      </c>
      <c r="C59" s="59" t="s">
        <v>193</v>
      </c>
      <c r="D59" s="60" t="s">
        <v>112</v>
      </c>
      <c r="E59" s="61" t="s">
        <v>194</v>
      </c>
      <c r="F59" s="62"/>
      <c r="G59" s="63" t="b">
        <v>0</v>
      </c>
      <c r="H59" s="69" t="s">
        <v>24</v>
      </c>
      <c r="I59" s="47"/>
      <c r="J59" s="69" t="s">
        <v>24</v>
      </c>
      <c r="K59" s="47"/>
      <c r="L59" s="66" t="s">
        <v>24</v>
      </c>
      <c r="M59" s="47"/>
      <c r="N59" s="66" t="s">
        <v>24</v>
      </c>
      <c r="O59" s="47"/>
      <c r="P59" s="66" t="s">
        <v>24</v>
      </c>
      <c r="Q59" s="47"/>
      <c r="R59" s="66" t="s">
        <v>24</v>
      </c>
      <c r="S59" s="86"/>
      <c r="T59" s="67"/>
      <c r="U59" s="68" t="b">
        <v>1</v>
      </c>
      <c r="V59" s="69" t="s">
        <v>51</v>
      </c>
      <c r="W59" s="54" t="s">
        <v>195</v>
      </c>
      <c r="X59" s="69" t="s">
        <v>51</v>
      </c>
      <c r="Y59" s="54" t="s">
        <v>195</v>
      </c>
      <c r="Z59" s="66">
        <v>44.0</v>
      </c>
      <c r="AA59" s="54" t="s">
        <v>195</v>
      </c>
      <c r="AB59" s="66" t="s">
        <v>23</v>
      </c>
      <c r="AC59" s="54" t="s">
        <v>195</v>
      </c>
      <c r="AD59" s="66" t="s">
        <v>23</v>
      </c>
      <c r="AE59" s="54" t="s">
        <v>195</v>
      </c>
      <c r="AF59" s="66" t="s">
        <v>23</v>
      </c>
      <c r="AG59" s="54" t="s">
        <v>195</v>
      </c>
      <c r="AH59" s="55"/>
      <c r="AI59" s="93"/>
      <c r="AJ59" s="94"/>
      <c r="AK59" s="93"/>
      <c r="AL59" s="94"/>
      <c r="AM59" s="93"/>
      <c r="AN59" s="94"/>
      <c r="AO59" s="16"/>
      <c r="AP59" s="16"/>
      <c r="AQ59" s="16"/>
      <c r="AR59" s="16"/>
      <c r="AS59" s="16"/>
      <c r="AT59" s="16"/>
      <c r="AU59" s="16"/>
    </row>
    <row r="60" ht="15.75" customHeight="1">
      <c r="A60" s="39"/>
      <c r="B60" s="72" t="s">
        <v>144</v>
      </c>
      <c r="C60" s="59" t="s">
        <v>196</v>
      </c>
      <c r="D60" s="60" t="s">
        <v>112</v>
      </c>
      <c r="E60" s="61" t="s">
        <v>197</v>
      </c>
      <c r="F60" s="62"/>
      <c r="G60" s="63" t="b">
        <v>1</v>
      </c>
      <c r="H60" s="69" t="s">
        <v>21</v>
      </c>
      <c r="I60" s="47" t="s">
        <v>198</v>
      </c>
      <c r="J60" s="69" t="s">
        <v>33</v>
      </c>
      <c r="K60" s="47" t="s">
        <v>198</v>
      </c>
      <c r="L60" s="66" t="s">
        <v>24</v>
      </c>
      <c r="M60" s="47"/>
      <c r="N60" s="66" t="s">
        <v>23</v>
      </c>
      <c r="O60" s="47" t="s">
        <v>198</v>
      </c>
      <c r="P60" s="66" t="s">
        <v>23</v>
      </c>
      <c r="Q60" s="47" t="s">
        <v>198</v>
      </c>
      <c r="R60" s="66" t="s">
        <v>23</v>
      </c>
      <c r="S60" s="86" t="s">
        <v>199</v>
      </c>
      <c r="T60" s="67"/>
      <c r="U60" s="68" t="b">
        <v>0</v>
      </c>
      <c r="V60" s="69" t="s">
        <v>24</v>
      </c>
      <c r="W60" s="54"/>
      <c r="X60" s="69" t="s">
        <v>24</v>
      </c>
      <c r="Y60" s="54"/>
      <c r="Z60" s="66">
        <v>44.0</v>
      </c>
      <c r="AA60" s="54" t="s">
        <v>200</v>
      </c>
      <c r="AB60" s="66" t="s">
        <v>24</v>
      </c>
      <c r="AC60" s="54"/>
      <c r="AD60" s="66" t="s">
        <v>24</v>
      </c>
      <c r="AE60" s="54"/>
      <c r="AF60" s="66" t="s">
        <v>24</v>
      </c>
      <c r="AG60" s="54"/>
      <c r="AH60" s="55"/>
      <c r="AI60" s="93"/>
      <c r="AJ60" s="94"/>
      <c r="AK60" s="93"/>
      <c r="AL60" s="94"/>
      <c r="AM60" s="93"/>
      <c r="AN60" s="94"/>
      <c r="AO60" s="16"/>
      <c r="AP60" s="16"/>
      <c r="AQ60" s="16"/>
      <c r="AR60" s="16"/>
      <c r="AS60" s="16"/>
      <c r="AT60" s="16"/>
      <c r="AU60" s="16"/>
    </row>
    <row r="61" ht="15.75" customHeight="1">
      <c r="A61" s="39"/>
      <c r="B61" s="72" t="s">
        <v>144</v>
      </c>
      <c r="C61" s="59" t="s">
        <v>201</v>
      </c>
      <c r="D61" s="60" t="s">
        <v>112</v>
      </c>
      <c r="E61" s="61" t="s">
        <v>202</v>
      </c>
      <c r="F61" s="62"/>
      <c r="G61" s="63" t="b">
        <v>1</v>
      </c>
      <c r="H61" s="69" t="s">
        <v>21</v>
      </c>
      <c r="I61" s="47" t="s">
        <v>203</v>
      </c>
      <c r="J61" s="69" t="s">
        <v>21</v>
      </c>
      <c r="K61" s="47" t="s">
        <v>203</v>
      </c>
      <c r="L61" s="66">
        <v>43.0</v>
      </c>
      <c r="M61" s="47" t="s">
        <v>203</v>
      </c>
      <c r="N61" s="66" t="s">
        <v>23</v>
      </c>
      <c r="O61" s="47" t="s">
        <v>203</v>
      </c>
      <c r="P61" s="66" t="s">
        <v>23</v>
      </c>
      <c r="Q61" s="47" t="s">
        <v>203</v>
      </c>
      <c r="R61" s="66" t="s">
        <v>23</v>
      </c>
      <c r="S61" s="47" t="s">
        <v>203</v>
      </c>
      <c r="T61" s="67"/>
      <c r="U61" s="68" t="b">
        <v>0</v>
      </c>
      <c r="V61" s="69" t="s">
        <v>24</v>
      </c>
      <c r="W61" s="54"/>
      <c r="X61" s="69" t="s">
        <v>24</v>
      </c>
      <c r="Y61" s="54"/>
      <c r="Z61" s="66" t="s">
        <v>24</v>
      </c>
      <c r="AA61" s="54"/>
      <c r="AB61" s="66" t="s">
        <v>24</v>
      </c>
      <c r="AC61" s="54"/>
      <c r="AD61" s="66" t="s">
        <v>24</v>
      </c>
      <c r="AE61" s="54"/>
      <c r="AF61" s="66" t="s">
        <v>24</v>
      </c>
      <c r="AG61" s="54"/>
      <c r="AH61" s="55"/>
      <c r="AI61" s="93"/>
      <c r="AJ61" s="94"/>
      <c r="AK61" s="93"/>
      <c r="AL61" s="94"/>
      <c r="AM61" s="93"/>
      <c r="AN61" s="94"/>
      <c r="AO61" s="16"/>
      <c r="AP61" s="16"/>
      <c r="AQ61" s="16"/>
      <c r="AR61" s="16"/>
      <c r="AS61" s="16"/>
      <c r="AT61" s="16"/>
      <c r="AU61" s="16"/>
    </row>
    <row r="62" ht="15.75" customHeight="1">
      <c r="A62" s="39"/>
      <c r="B62" s="72" t="s">
        <v>144</v>
      </c>
      <c r="C62" s="59" t="s">
        <v>204</v>
      </c>
      <c r="D62" s="60" t="s">
        <v>98</v>
      </c>
      <c r="E62" s="61" t="s">
        <v>205</v>
      </c>
      <c r="F62" s="62"/>
      <c r="G62" s="63" t="b">
        <v>1</v>
      </c>
      <c r="H62" s="69" t="s">
        <v>33</v>
      </c>
      <c r="I62" s="47" t="s">
        <v>206</v>
      </c>
      <c r="J62" s="69" t="s">
        <v>33</v>
      </c>
      <c r="K62" s="47" t="s">
        <v>206</v>
      </c>
      <c r="L62" s="66" t="s">
        <v>24</v>
      </c>
      <c r="M62" s="47"/>
      <c r="N62" s="66" t="s">
        <v>24</v>
      </c>
      <c r="O62" s="47"/>
      <c r="P62" s="66" t="s">
        <v>24</v>
      </c>
      <c r="Q62" s="47"/>
      <c r="R62" s="66" t="s">
        <v>23</v>
      </c>
      <c r="S62" s="47" t="s">
        <v>206</v>
      </c>
      <c r="T62" s="67"/>
      <c r="U62" s="68" t="b">
        <v>1</v>
      </c>
      <c r="V62" s="69" t="s">
        <v>24</v>
      </c>
      <c r="W62" s="54"/>
      <c r="X62" s="69" t="s">
        <v>24</v>
      </c>
      <c r="Y62" s="54"/>
      <c r="Z62" s="66">
        <v>41.0</v>
      </c>
      <c r="AA62" s="54" t="s">
        <v>207</v>
      </c>
      <c r="AB62" s="66" t="s">
        <v>24</v>
      </c>
      <c r="AC62" s="54"/>
      <c r="AD62" s="66" t="s">
        <v>23</v>
      </c>
      <c r="AE62" s="54" t="s">
        <v>207</v>
      </c>
      <c r="AF62" s="66" t="s">
        <v>24</v>
      </c>
      <c r="AG62" s="95"/>
      <c r="AH62" s="55"/>
      <c r="AI62" s="93"/>
      <c r="AJ62" s="94"/>
      <c r="AK62" s="93"/>
      <c r="AL62" s="94"/>
      <c r="AM62" s="93"/>
      <c r="AN62" s="94"/>
      <c r="AO62" s="16"/>
      <c r="AP62" s="16"/>
      <c r="AQ62" s="16"/>
      <c r="AR62" s="16"/>
      <c r="AS62" s="16"/>
      <c r="AT62" s="16"/>
      <c r="AU62" s="16"/>
    </row>
    <row r="63" ht="15.75" customHeight="1">
      <c r="A63" s="39"/>
      <c r="B63" s="72" t="s">
        <v>144</v>
      </c>
      <c r="C63" s="59" t="s">
        <v>208</v>
      </c>
      <c r="D63" s="60" t="s">
        <v>98</v>
      </c>
      <c r="E63" s="61" t="s">
        <v>209</v>
      </c>
      <c r="F63" s="62"/>
      <c r="G63" s="63" t="b">
        <v>1</v>
      </c>
      <c r="H63" s="69" t="s">
        <v>33</v>
      </c>
      <c r="I63" s="47" t="s">
        <v>210</v>
      </c>
      <c r="J63" s="69" t="s">
        <v>33</v>
      </c>
      <c r="K63" s="47" t="s">
        <v>210</v>
      </c>
      <c r="L63" s="66">
        <v>42.0</v>
      </c>
      <c r="M63" s="47" t="s">
        <v>210</v>
      </c>
      <c r="N63" s="66" t="s">
        <v>23</v>
      </c>
      <c r="O63" s="47" t="s">
        <v>210</v>
      </c>
      <c r="P63" s="66" t="s">
        <v>24</v>
      </c>
      <c r="Q63" s="47"/>
      <c r="R63" s="66" t="s">
        <v>24</v>
      </c>
      <c r="S63" s="47"/>
      <c r="T63" s="67"/>
      <c r="U63" s="68" t="b">
        <v>1</v>
      </c>
      <c r="V63" s="69" t="s">
        <v>24</v>
      </c>
      <c r="W63" s="95"/>
      <c r="X63" s="69" t="s">
        <v>24</v>
      </c>
      <c r="Y63" s="95"/>
      <c r="Z63" s="66" t="s">
        <v>24</v>
      </c>
      <c r="AA63" s="95"/>
      <c r="AB63" s="66" t="s">
        <v>24</v>
      </c>
      <c r="AC63" s="95"/>
      <c r="AD63" s="66" t="s">
        <v>23</v>
      </c>
      <c r="AE63" s="95" t="s">
        <v>211</v>
      </c>
      <c r="AF63" s="66" t="s">
        <v>23</v>
      </c>
      <c r="AG63" s="95" t="s">
        <v>211</v>
      </c>
      <c r="AH63" s="55"/>
      <c r="AI63" s="93"/>
      <c r="AJ63" s="94"/>
      <c r="AK63" s="93"/>
      <c r="AL63" s="94"/>
      <c r="AM63" s="93"/>
      <c r="AN63" s="94"/>
      <c r="AO63" s="16"/>
      <c r="AP63" s="16"/>
      <c r="AQ63" s="16"/>
      <c r="AR63" s="16"/>
      <c r="AS63" s="16"/>
      <c r="AT63" s="16"/>
      <c r="AU63" s="16"/>
    </row>
    <row r="64" ht="15.75" customHeight="1">
      <c r="A64" s="39"/>
      <c r="B64" s="72" t="s">
        <v>144</v>
      </c>
      <c r="C64" s="59" t="s">
        <v>212</v>
      </c>
      <c r="D64" s="60" t="s">
        <v>98</v>
      </c>
      <c r="E64" s="61" t="s">
        <v>213</v>
      </c>
      <c r="F64" s="62"/>
      <c r="G64" s="63" t="b">
        <v>1</v>
      </c>
      <c r="H64" s="69" t="s">
        <v>33</v>
      </c>
      <c r="I64" s="47" t="s">
        <v>214</v>
      </c>
      <c r="J64" s="69" t="s">
        <v>33</v>
      </c>
      <c r="K64" s="47" t="s">
        <v>214</v>
      </c>
      <c r="L64" s="66">
        <v>42.0</v>
      </c>
      <c r="M64" s="47" t="s">
        <v>214</v>
      </c>
      <c r="N64" s="66" t="s">
        <v>23</v>
      </c>
      <c r="O64" s="47" t="s">
        <v>214</v>
      </c>
      <c r="P64" s="66" t="s">
        <v>23</v>
      </c>
      <c r="Q64" s="47" t="s">
        <v>214</v>
      </c>
      <c r="R64" s="66" t="s">
        <v>24</v>
      </c>
      <c r="S64" s="47"/>
      <c r="T64" s="67"/>
      <c r="U64" s="68" t="b">
        <v>0</v>
      </c>
      <c r="V64" s="69" t="s">
        <v>24</v>
      </c>
      <c r="W64" s="54"/>
      <c r="X64" s="69" t="s">
        <v>24</v>
      </c>
      <c r="Y64" s="54"/>
      <c r="Z64" s="66" t="s">
        <v>24</v>
      </c>
      <c r="AA64" s="54"/>
      <c r="AB64" s="66" t="s">
        <v>24</v>
      </c>
      <c r="AC64" s="54"/>
      <c r="AD64" s="66" t="s">
        <v>24</v>
      </c>
      <c r="AE64" s="54"/>
      <c r="AF64" s="66" t="s">
        <v>23</v>
      </c>
      <c r="AG64" s="54" t="s">
        <v>215</v>
      </c>
      <c r="AH64" s="55"/>
      <c r="AI64" s="93"/>
      <c r="AJ64" s="94"/>
      <c r="AK64" s="93"/>
      <c r="AL64" s="94"/>
      <c r="AM64" s="93"/>
      <c r="AN64" s="94"/>
      <c r="AO64" s="16"/>
      <c r="AP64" s="16"/>
      <c r="AQ64" s="16"/>
      <c r="AR64" s="16"/>
      <c r="AS64" s="16"/>
      <c r="AT64" s="16"/>
      <c r="AU64" s="16"/>
    </row>
    <row r="65" ht="15.75" customHeight="1">
      <c r="A65" s="39"/>
      <c r="B65" s="72" t="s">
        <v>144</v>
      </c>
      <c r="C65" s="59" t="s">
        <v>216</v>
      </c>
      <c r="D65" s="60" t="s">
        <v>87</v>
      </c>
      <c r="E65" s="61" t="s">
        <v>217</v>
      </c>
      <c r="F65" s="62"/>
      <c r="G65" s="63" t="b">
        <v>0</v>
      </c>
      <c r="H65" s="69" t="s">
        <v>24</v>
      </c>
      <c r="I65" s="47"/>
      <c r="J65" s="69" t="s">
        <v>24</v>
      </c>
      <c r="K65" s="47"/>
      <c r="L65" s="66" t="s">
        <v>24</v>
      </c>
      <c r="M65" s="47"/>
      <c r="N65" s="66" t="s">
        <v>24</v>
      </c>
      <c r="O65" s="47"/>
      <c r="P65" s="66" t="s">
        <v>24</v>
      </c>
      <c r="Q65" s="47"/>
      <c r="R65" s="66" t="s">
        <v>24</v>
      </c>
      <c r="S65" s="86"/>
      <c r="T65" s="67"/>
      <c r="U65" s="68" t="b">
        <v>1</v>
      </c>
      <c r="V65" s="69" t="s">
        <v>21</v>
      </c>
      <c r="W65" s="54" t="s">
        <v>218</v>
      </c>
      <c r="X65" s="69" t="s">
        <v>21</v>
      </c>
      <c r="Y65" s="54" t="s">
        <v>218</v>
      </c>
      <c r="Z65" s="66">
        <v>42.0</v>
      </c>
      <c r="AA65" s="54" t="s">
        <v>218</v>
      </c>
      <c r="AB65" s="66" t="s">
        <v>23</v>
      </c>
      <c r="AC65" s="54" t="s">
        <v>218</v>
      </c>
      <c r="AD65" s="66" t="s">
        <v>23</v>
      </c>
      <c r="AE65" s="54" t="s">
        <v>218</v>
      </c>
      <c r="AF65" s="66" t="s">
        <v>23</v>
      </c>
      <c r="AG65" s="54" t="s">
        <v>218</v>
      </c>
      <c r="AH65" s="55"/>
      <c r="AI65" s="93"/>
      <c r="AJ65" s="94"/>
      <c r="AK65" s="93"/>
      <c r="AL65" s="94"/>
      <c r="AM65" s="93"/>
      <c r="AN65" s="94"/>
      <c r="AO65" s="16"/>
      <c r="AP65" s="16"/>
      <c r="AQ65" s="16"/>
      <c r="AR65" s="16"/>
      <c r="AS65" s="16"/>
      <c r="AT65" s="16"/>
      <c r="AU65" s="16"/>
    </row>
    <row r="66" ht="15.75" customHeight="1">
      <c r="A66" s="39"/>
      <c r="B66" s="72" t="s">
        <v>144</v>
      </c>
      <c r="C66" s="59" t="s">
        <v>219</v>
      </c>
      <c r="D66" s="60" t="s">
        <v>98</v>
      </c>
      <c r="E66" s="61" t="s">
        <v>220</v>
      </c>
      <c r="F66" s="62"/>
      <c r="G66" s="63" t="b">
        <v>1</v>
      </c>
      <c r="H66" s="69" t="s">
        <v>21</v>
      </c>
      <c r="I66" s="47" t="s">
        <v>221</v>
      </c>
      <c r="J66" s="69" t="s">
        <v>21</v>
      </c>
      <c r="K66" s="47" t="s">
        <v>221</v>
      </c>
      <c r="L66" s="66" t="s">
        <v>24</v>
      </c>
      <c r="M66" s="47"/>
      <c r="N66" s="66" t="s">
        <v>24</v>
      </c>
      <c r="O66" s="47"/>
      <c r="P66" s="66" t="s">
        <v>24</v>
      </c>
      <c r="Q66" s="47"/>
      <c r="R66" s="66" t="s">
        <v>24</v>
      </c>
      <c r="S66" s="47"/>
      <c r="T66" s="67"/>
      <c r="U66" s="68" t="b">
        <v>0</v>
      </c>
      <c r="V66" s="69" t="s">
        <v>24</v>
      </c>
      <c r="W66" s="54"/>
      <c r="X66" s="69" t="s">
        <v>24</v>
      </c>
      <c r="Y66" s="54"/>
      <c r="Z66" s="66">
        <v>45.0</v>
      </c>
      <c r="AA66" s="54" t="s">
        <v>222</v>
      </c>
      <c r="AB66" s="66" t="s">
        <v>23</v>
      </c>
      <c r="AC66" s="54" t="s">
        <v>222</v>
      </c>
      <c r="AD66" s="66" t="s">
        <v>23</v>
      </c>
      <c r="AE66" s="54" t="s">
        <v>222</v>
      </c>
      <c r="AF66" s="66" t="s">
        <v>23</v>
      </c>
      <c r="AG66" s="54" t="s">
        <v>222</v>
      </c>
      <c r="AH66" s="55"/>
      <c r="AI66" s="93"/>
      <c r="AJ66" s="94"/>
      <c r="AK66" s="93"/>
      <c r="AL66" s="94"/>
      <c r="AM66" s="93"/>
      <c r="AN66" s="94"/>
      <c r="AO66" s="16"/>
      <c r="AP66" s="16"/>
      <c r="AQ66" s="16"/>
      <c r="AR66" s="16"/>
      <c r="AS66" s="16"/>
      <c r="AT66" s="16"/>
      <c r="AU66" s="16"/>
    </row>
    <row r="67" ht="15.75" customHeight="1">
      <c r="A67" s="39"/>
      <c r="B67" s="72" t="s">
        <v>144</v>
      </c>
      <c r="C67" s="59" t="s">
        <v>223</v>
      </c>
      <c r="D67" s="60" t="s">
        <v>98</v>
      </c>
      <c r="E67" s="61" t="s">
        <v>224</v>
      </c>
      <c r="F67" s="62"/>
      <c r="G67" s="63" t="b">
        <v>0</v>
      </c>
      <c r="H67" s="69" t="s">
        <v>24</v>
      </c>
      <c r="I67" s="47"/>
      <c r="J67" s="69" t="s">
        <v>24</v>
      </c>
      <c r="K67" s="47"/>
      <c r="L67" s="66" t="s">
        <v>24</v>
      </c>
      <c r="M67" s="47"/>
      <c r="N67" s="66" t="s">
        <v>24</v>
      </c>
      <c r="O67" s="47"/>
      <c r="P67" s="66" t="s">
        <v>23</v>
      </c>
      <c r="Q67" s="47" t="s">
        <v>225</v>
      </c>
      <c r="R67" s="66" t="s">
        <v>24</v>
      </c>
      <c r="S67" s="86"/>
      <c r="T67" s="67"/>
      <c r="U67" s="68" t="b">
        <v>1</v>
      </c>
      <c r="V67" s="69" t="s">
        <v>28</v>
      </c>
      <c r="W67" s="54" t="s">
        <v>226</v>
      </c>
      <c r="X67" s="69" t="s">
        <v>28</v>
      </c>
      <c r="Y67" s="54" t="s">
        <v>226</v>
      </c>
      <c r="Z67" s="66">
        <v>40.0</v>
      </c>
      <c r="AA67" s="54" t="s">
        <v>226</v>
      </c>
      <c r="AB67" s="66" t="s">
        <v>23</v>
      </c>
      <c r="AC67" s="54" t="s">
        <v>226</v>
      </c>
      <c r="AD67" s="66" t="s">
        <v>24</v>
      </c>
      <c r="AE67" s="54"/>
      <c r="AF67" s="66" t="s">
        <v>23</v>
      </c>
      <c r="AG67" s="54" t="s">
        <v>226</v>
      </c>
      <c r="AH67" s="55"/>
      <c r="AI67" s="93"/>
      <c r="AJ67" s="94"/>
      <c r="AK67" s="93"/>
      <c r="AL67" s="94"/>
      <c r="AM67" s="93"/>
      <c r="AN67" s="94"/>
      <c r="AO67" s="16"/>
      <c r="AP67" s="16"/>
      <c r="AQ67" s="16"/>
      <c r="AR67" s="16"/>
      <c r="AS67" s="16"/>
      <c r="AT67" s="16"/>
      <c r="AU67" s="16"/>
    </row>
    <row r="68" ht="15.75" customHeight="1">
      <c r="A68" s="39"/>
      <c r="B68" s="72" t="s">
        <v>144</v>
      </c>
      <c r="C68" s="59" t="s">
        <v>227</v>
      </c>
      <c r="D68" s="60" t="s">
        <v>98</v>
      </c>
      <c r="E68" s="61" t="s">
        <v>228</v>
      </c>
      <c r="F68" s="62"/>
      <c r="G68" s="63" t="b">
        <v>0</v>
      </c>
      <c r="H68" s="69" t="s">
        <v>24</v>
      </c>
      <c r="I68" s="47"/>
      <c r="J68" s="69" t="s">
        <v>24</v>
      </c>
      <c r="K68" s="47"/>
      <c r="L68" s="66" t="s">
        <v>24</v>
      </c>
      <c r="M68" s="47"/>
      <c r="N68" s="66" t="s">
        <v>24</v>
      </c>
      <c r="O68" s="47"/>
      <c r="P68" s="66" t="s">
        <v>24</v>
      </c>
      <c r="Q68" s="47"/>
      <c r="R68" s="66" t="s">
        <v>24</v>
      </c>
      <c r="S68" s="86"/>
      <c r="T68" s="67"/>
      <c r="U68" s="68" t="b">
        <v>1</v>
      </c>
      <c r="V68" s="69" t="s">
        <v>28</v>
      </c>
      <c r="W68" s="54" t="s">
        <v>229</v>
      </c>
      <c r="X68" s="69" t="s">
        <v>28</v>
      </c>
      <c r="Y68" s="54" t="s">
        <v>229</v>
      </c>
      <c r="Z68" s="66">
        <v>40.0</v>
      </c>
      <c r="AA68" s="54" t="s">
        <v>229</v>
      </c>
      <c r="AB68" s="66" t="s">
        <v>23</v>
      </c>
      <c r="AC68" s="54" t="s">
        <v>229</v>
      </c>
      <c r="AD68" s="66" t="s">
        <v>23</v>
      </c>
      <c r="AE68" s="54" t="s">
        <v>229</v>
      </c>
      <c r="AF68" s="66" t="s">
        <v>23</v>
      </c>
      <c r="AG68" s="54" t="s">
        <v>229</v>
      </c>
      <c r="AH68" s="55"/>
      <c r="AI68" s="93"/>
      <c r="AJ68" s="94"/>
      <c r="AK68" s="93"/>
      <c r="AL68" s="94"/>
      <c r="AM68" s="93"/>
      <c r="AN68" s="94"/>
      <c r="AO68" s="16"/>
      <c r="AP68" s="16"/>
      <c r="AQ68" s="16"/>
      <c r="AR68" s="16"/>
      <c r="AS68" s="16"/>
      <c r="AT68" s="16"/>
      <c r="AU68" s="16"/>
    </row>
    <row r="69" ht="15.75" customHeight="1">
      <c r="A69" s="39"/>
      <c r="B69" s="72" t="s">
        <v>144</v>
      </c>
      <c r="C69" s="59" t="s">
        <v>230</v>
      </c>
      <c r="D69" s="60" t="s">
        <v>98</v>
      </c>
      <c r="E69" s="61" t="s">
        <v>231</v>
      </c>
      <c r="F69" s="62"/>
      <c r="G69" s="63" t="b">
        <v>1</v>
      </c>
      <c r="H69" s="69" t="s">
        <v>21</v>
      </c>
      <c r="I69" s="47" t="s">
        <v>232</v>
      </c>
      <c r="J69" s="69" t="s">
        <v>21</v>
      </c>
      <c r="K69" s="47" t="s">
        <v>232</v>
      </c>
      <c r="L69" s="66" t="s">
        <v>24</v>
      </c>
      <c r="M69" s="47"/>
      <c r="N69" s="66" t="s">
        <v>24</v>
      </c>
      <c r="O69" s="47"/>
      <c r="P69" s="66" t="s">
        <v>24</v>
      </c>
      <c r="Q69" s="47"/>
      <c r="R69" s="66" t="s">
        <v>24</v>
      </c>
      <c r="S69" s="86"/>
      <c r="T69" s="67"/>
      <c r="U69" s="68" t="b">
        <v>1</v>
      </c>
      <c r="V69" s="69" t="s">
        <v>24</v>
      </c>
      <c r="W69" s="54"/>
      <c r="X69" s="69" t="s">
        <v>24</v>
      </c>
      <c r="Y69" s="54"/>
      <c r="Z69" s="66">
        <v>42.0</v>
      </c>
      <c r="AA69" s="54" t="s">
        <v>233</v>
      </c>
      <c r="AB69" s="66" t="s">
        <v>23</v>
      </c>
      <c r="AC69" s="54" t="s">
        <v>233</v>
      </c>
      <c r="AD69" s="66" t="s">
        <v>23</v>
      </c>
      <c r="AE69" s="54" t="s">
        <v>233</v>
      </c>
      <c r="AF69" s="66" t="s">
        <v>23</v>
      </c>
      <c r="AG69" s="54" t="s">
        <v>233</v>
      </c>
      <c r="AH69" s="55"/>
      <c r="AI69" s="93"/>
      <c r="AJ69" s="94"/>
      <c r="AK69" s="93"/>
      <c r="AL69" s="94"/>
      <c r="AM69" s="93"/>
      <c r="AN69" s="94"/>
      <c r="AO69" s="16"/>
      <c r="AP69" s="16"/>
      <c r="AQ69" s="16"/>
      <c r="AR69" s="16"/>
      <c r="AS69" s="16"/>
      <c r="AT69" s="16"/>
      <c r="AU69" s="16"/>
    </row>
    <row r="70" ht="15.75" customHeight="1">
      <c r="A70" s="39"/>
      <c r="B70" s="72" t="s">
        <v>144</v>
      </c>
      <c r="C70" s="59" t="s">
        <v>234</v>
      </c>
      <c r="D70" s="60" t="s">
        <v>98</v>
      </c>
      <c r="E70" s="61" t="s">
        <v>235</v>
      </c>
      <c r="F70" s="62"/>
      <c r="G70" s="63" t="b">
        <v>1</v>
      </c>
      <c r="H70" s="69" t="s">
        <v>33</v>
      </c>
      <c r="I70" s="47" t="s">
        <v>236</v>
      </c>
      <c r="J70" s="69" t="s">
        <v>28</v>
      </c>
      <c r="K70" s="47" t="s">
        <v>236</v>
      </c>
      <c r="L70" s="66" t="s">
        <v>24</v>
      </c>
      <c r="M70" s="47"/>
      <c r="N70" s="66" t="s">
        <v>24</v>
      </c>
      <c r="O70" s="47"/>
      <c r="P70" s="66" t="s">
        <v>24</v>
      </c>
      <c r="Q70" s="47"/>
      <c r="R70" s="66" t="s">
        <v>24</v>
      </c>
      <c r="S70" s="86"/>
      <c r="T70" s="67"/>
      <c r="U70" s="68" t="b">
        <v>1</v>
      </c>
      <c r="V70" s="69" t="s">
        <v>24</v>
      </c>
      <c r="W70" s="54"/>
      <c r="X70" s="69" t="s">
        <v>24</v>
      </c>
      <c r="Y70" s="54"/>
      <c r="Z70" s="66">
        <v>42.0</v>
      </c>
      <c r="AA70" s="54" t="s">
        <v>237</v>
      </c>
      <c r="AB70" s="66" t="s">
        <v>23</v>
      </c>
      <c r="AC70" s="54" t="s">
        <v>237</v>
      </c>
      <c r="AD70" s="66" t="s">
        <v>23</v>
      </c>
      <c r="AE70" s="54" t="s">
        <v>237</v>
      </c>
      <c r="AF70" s="66" t="s">
        <v>24</v>
      </c>
      <c r="AG70" s="54" t="s">
        <v>237</v>
      </c>
      <c r="AH70" s="55"/>
      <c r="AI70" s="93"/>
      <c r="AJ70" s="94"/>
      <c r="AK70" s="93"/>
      <c r="AL70" s="94"/>
      <c r="AM70" s="93"/>
      <c r="AN70" s="94"/>
      <c r="AO70" s="16"/>
      <c r="AP70" s="16"/>
      <c r="AQ70" s="16"/>
      <c r="AR70" s="16"/>
      <c r="AS70" s="16"/>
      <c r="AT70" s="16"/>
      <c r="AU70" s="16"/>
    </row>
    <row r="71" ht="15.75" customHeight="1">
      <c r="A71" s="39"/>
      <c r="B71" s="72" t="s">
        <v>144</v>
      </c>
      <c r="C71" s="59" t="s">
        <v>238</v>
      </c>
      <c r="D71" s="60" t="s">
        <v>98</v>
      </c>
      <c r="E71" s="61" t="s">
        <v>239</v>
      </c>
      <c r="F71" s="62"/>
      <c r="G71" s="63" t="b">
        <v>1</v>
      </c>
      <c r="H71" s="69" t="s">
        <v>28</v>
      </c>
      <c r="I71" s="47" t="s">
        <v>240</v>
      </c>
      <c r="J71" s="69" t="s">
        <v>28</v>
      </c>
      <c r="K71" s="47" t="s">
        <v>240</v>
      </c>
      <c r="L71" s="66">
        <v>44.0</v>
      </c>
      <c r="M71" s="47" t="s">
        <v>240</v>
      </c>
      <c r="N71" s="66" t="s">
        <v>24</v>
      </c>
      <c r="O71" s="47"/>
      <c r="P71" s="66" t="s">
        <v>24</v>
      </c>
      <c r="Q71" s="47"/>
      <c r="R71" s="66" t="s">
        <v>24</v>
      </c>
      <c r="S71" s="86"/>
      <c r="T71" s="67"/>
      <c r="U71" s="68" t="b">
        <v>1</v>
      </c>
      <c r="V71" s="69" t="s">
        <v>24</v>
      </c>
      <c r="W71" s="54"/>
      <c r="X71" s="69" t="s">
        <v>24</v>
      </c>
      <c r="Y71" s="54"/>
      <c r="Z71" s="66" t="s">
        <v>24</v>
      </c>
      <c r="AA71" s="54"/>
      <c r="AB71" s="66" t="s">
        <v>23</v>
      </c>
      <c r="AC71" s="54" t="s">
        <v>241</v>
      </c>
      <c r="AD71" s="66" t="s">
        <v>23</v>
      </c>
      <c r="AE71" s="54" t="s">
        <v>241</v>
      </c>
      <c r="AF71" s="66" t="s">
        <v>23</v>
      </c>
      <c r="AG71" s="54" t="s">
        <v>241</v>
      </c>
      <c r="AH71" s="55"/>
      <c r="AI71" s="93"/>
      <c r="AJ71" s="94"/>
      <c r="AK71" s="93"/>
      <c r="AL71" s="94"/>
      <c r="AM71" s="93"/>
      <c r="AN71" s="94"/>
      <c r="AO71" s="16"/>
      <c r="AP71" s="16"/>
      <c r="AQ71" s="16"/>
      <c r="AR71" s="16"/>
      <c r="AS71" s="16"/>
      <c r="AT71" s="16"/>
      <c r="AU71" s="16"/>
    </row>
    <row r="72" ht="15.75" customHeight="1">
      <c r="A72" s="39"/>
      <c r="B72" s="72" t="s">
        <v>144</v>
      </c>
      <c r="C72" s="59" t="s">
        <v>242</v>
      </c>
      <c r="D72" s="60" t="s">
        <v>98</v>
      </c>
      <c r="E72" s="61" t="s">
        <v>243</v>
      </c>
      <c r="F72" s="62"/>
      <c r="G72" s="63" t="b">
        <v>1</v>
      </c>
      <c r="H72" s="69" t="s">
        <v>33</v>
      </c>
      <c r="I72" s="47" t="s">
        <v>244</v>
      </c>
      <c r="J72" s="69" t="s">
        <v>33</v>
      </c>
      <c r="K72" s="47" t="s">
        <v>244</v>
      </c>
      <c r="L72" s="66" t="s">
        <v>24</v>
      </c>
      <c r="M72" s="47"/>
      <c r="N72" s="66" t="s">
        <v>24</v>
      </c>
      <c r="O72" s="47"/>
      <c r="P72" s="66" t="s">
        <v>24</v>
      </c>
      <c r="Q72" s="47"/>
      <c r="R72" s="66" t="s">
        <v>23</v>
      </c>
      <c r="S72" s="86" t="s">
        <v>244</v>
      </c>
      <c r="T72" s="67"/>
      <c r="U72" s="68" t="b">
        <v>1</v>
      </c>
      <c r="V72" s="69" t="s">
        <v>24</v>
      </c>
      <c r="W72" s="54"/>
      <c r="X72" s="69" t="s">
        <v>24</v>
      </c>
      <c r="Y72" s="54"/>
      <c r="Z72" s="66">
        <v>44.0</v>
      </c>
      <c r="AA72" s="54" t="s">
        <v>245</v>
      </c>
      <c r="AB72" s="66" t="s">
        <v>23</v>
      </c>
      <c r="AC72" s="54" t="s">
        <v>245</v>
      </c>
      <c r="AD72" s="66" t="s">
        <v>23</v>
      </c>
      <c r="AE72" s="54" t="s">
        <v>245</v>
      </c>
      <c r="AF72" s="66" t="s">
        <v>24</v>
      </c>
      <c r="AG72" s="54"/>
      <c r="AH72" s="55"/>
      <c r="AI72" s="93"/>
      <c r="AJ72" s="94"/>
      <c r="AK72" s="93"/>
      <c r="AL72" s="94"/>
      <c r="AM72" s="93"/>
      <c r="AN72" s="94"/>
      <c r="AO72" s="16"/>
      <c r="AP72" s="16"/>
      <c r="AQ72" s="16"/>
      <c r="AR72" s="16"/>
      <c r="AS72" s="16"/>
      <c r="AT72" s="16"/>
      <c r="AU72" s="16"/>
    </row>
    <row r="73" ht="15.75" customHeight="1">
      <c r="A73" s="39"/>
      <c r="B73" s="72" t="s">
        <v>144</v>
      </c>
      <c r="C73" s="59" t="s">
        <v>246</v>
      </c>
      <c r="D73" s="60" t="s">
        <v>98</v>
      </c>
      <c r="E73" s="61" t="s">
        <v>247</v>
      </c>
      <c r="F73" s="62"/>
      <c r="G73" s="63" t="b">
        <v>0</v>
      </c>
      <c r="H73" s="69" t="s">
        <v>24</v>
      </c>
      <c r="I73" s="47"/>
      <c r="J73" s="69" t="s">
        <v>24</v>
      </c>
      <c r="K73" s="47"/>
      <c r="L73" s="66" t="s">
        <v>24</v>
      </c>
      <c r="M73" s="47"/>
      <c r="N73" s="66" t="s">
        <v>24</v>
      </c>
      <c r="O73" s="47"/>
      <c r="P73" s="66" t="s">
        <v>24</v>
      </c>
      <c r="Q73" s="47"/>
      <c r="R73" s="66" t="s">
        <v>24</v>
      </c>
      <c r="S73" s="86"/>
      <c r="T73" s="67"/>
      <c r="U73" s="68" t="b">
        <v>1</v>
      </c>
      <c r="V73" s="69" t="s">
        <v>51</v>
      </c>
      <c r="W73" s="54" t="s">
        <v>248</v>
      </c>
      <c r="X73" s="69" t="s">
        <v>51</v>
      </c>
      <c r="Y73" s="54" t="s">
        <v>248</v>
      </c>
      <c r="Z73" s="66">
        <v>44.0</v>
      </c>
      <c r="AA73" s="54" t="s">
        <v>248</v>
      </c>
      <c r="AB73" s="66" t="s">
        <v>23</v>
      </c>
      <c r="AC73" s="54" t="s">
        <v>248</v>
      </c>
      <c r="AD73" s="66" t="s">
        <v>23</v>
      </c>
      <c r="AE73" s="54" t="s">
        <v>248</v>
      </c>
      <c r="AF73" s="66" t="s">
        <v>23</v>
      </c>
      <c r="AG73" s="54" t="s">
        <v>248</v>
      </c>
      <c r="AH73" s="55"/>
      <c r="AI73" s="93"/>
      <c r="AJ73" s="94"/>
      <c r="AK73" s="93"/>
      <c r="AL73" s="94"/>
      <c r="AM73" s="93"/>
      <c r="AN73" s="94"/>
      <c r="AO73" s="16"/>
      <c r="AP73" s="16"/>
      <c r="AQ73" s="16"/>
      <c r="AR73" s="16"/>
      <c r="AS73" s="16"/>
      <c r="AT73" s="16"/>
      <c r="AU73" s="16"/>
    </row>
    <row r="74" ht="15.75" customHeight="1">
      <c r="A74" s="39"/>
      <c r="B74" s="72" t="s">
        <v>144</v>
      </c>
      <c r="C74" s="59" t="s">
        <v>249</v>
      </c>
      <c r="D74" s="60" t="s">
        <v>98</v>
      </c>
      <c r="E74" s="61" t="s">
        <v>250</v>
      </c>
      <c r="F74" s="62"/>
      <c r="G74" s="63" t="b">
        <v>0</v>
      </c>
      <c r="H74" s="69" t="s">
        <v>24</v>
      </c>
      <c r="I74" s="47"/>
      <c r="J74" s="69" t="s">
        <v>24</v>
      </c>
      <c r="K74" s="47"/>
      <c r="L74" s="66" t="s">
        <v>24</v>
      </c>
      <c r="M74" s="47"/>
      <c r="N74" s="66" t="s">
        <v>24</v>
      </c>
      <c r="O74" s="47"/>
      <c r="P74" s="66" t="s">
        <v>24</v>
      </c>
      <c r="Q74" s="47"/>
      <c r="R74" s="66" t="s">
        <v>24</v>
      </c>
      <c r="S74" s="86"/>
      <c r="T74" s="67"/>
      <c r="U74" s="68" t="b">
        <v>1</v>
      </c>
      <c r="V74" s="69" t="s">
        <v>51</v>
      </c>
      <c r="W74" s="54" t="s">
        <v>251</v>
      </c>
      <c r="X74" s="69" t="s">
        <v>51</v>
      </c>
      <c r="Y74" s="54" t="s">
        <v>251</v>
      </c>
      <c r="Z74" s="66">
        <v>44.0</v>
      </c>
      <c r="AA74" s="54" t="s">
        <v>251</v>
      </c>
      <c r="AB74" s="66" t="s">
        <v>23</v>
      </c>
      <c r="AC74" s="54" t="s">
        <v>251</v>
      </c>
      <c r="AD74" s="66" t="s">
        <v>23</v>
      </c>
      <c r="AE74" s="54" t="s">
        <v>251</v>
      </c>
      <c r="AF74" s="66" t="s">
        <v>23</v>
      </c>
      <c r="AG74" s="54" t="s">
        <v>251</v>
      </c>
      <c r="AH74" s="55"/>
      <c r="AI74" s="93"/>
      <c r="AJ74" s="94"/>
      <c r="AK74" s="93"/>
      <c r="AL74" s="94"/>
      <c r="AM74" s="93"/>
      <c r="AN74" s="94"/>
      <c r="AO74" s="16"/>
      <c r="AP74" s="16"/>
      <c r="AQ74" s="16"/>
      <c r="AR74" s="16"/>
      <c r="AS74" s="16"/>
      <c r="AT74" s="16"/>
      <c r="AU74" s="16"/>
    </row>
    <row r="75" ht="15.75" customHeight="1">
      <c r="A75" s="39"/>
      <c r="B75" s="72" t="s">
        <v>144</v>
      </c>
      <c r="C75" s="59" t="s">
        <v>252</v>
      </c>
      <c r="D75" s="60" t="s">
        <v>112</v>
      </c>
      <c r="E75" s="61" t="s">
        <v>253</v>
      </c>
      <c r="F75" s="62"/>
      <c r="G75" s="63" t="b">
        <v>0</v>
      </c>
      <c r="H75" s="69" t="s">
        <v>24</v>
      </c>
      <c r="I75" s="47"/>
      <c r="J75" s="69" t="s">
        <v>24</v>
      </c>
      <c r="K75" s="47"/>
      <c r="L75" s="66" t="s">
        <v>24</v>
      </c>
      <c r="M75" s="47"/>
      <c r="N75" s="66" t="s">
        <v>24</v>
      </c>
      <c r="O75" s="47"/>
      <c r="P75" s="66" t="s">
        <v>24</v>
      </c>
      <c r="Q75" s="47"/>
      <c r="R75" s="66" t="s">
        <v>24</v>
      </c>
      <c r="S75" s="86"/>
      <c r="T75" s="67"/>
      <c r="U75" s="68" t="b">
        <v>1</v>
      </c>
      <c r="V75" s="69" t="s">
        <v>51</v>
      </c>
      <c r="W75" s="54" t="s">
        <v>254</v>
      </c>
      <c r="X75" s="69" t="s">
        <v>51</v>
      </c>
      <c r="Y75" s="54" t="s">
        <v>254</v>
      </c>
      <c r="Z75" s="66">
        <v>44.0</v>
      </c>
      <c r="AA75" s="54" t="s">
        <v>254</v>
      </c>
      <c r="AB75" s="66" t="s">
        <v>23</v>
      </c>
      <c r="AC75" s="54" t="s">
        <v>254</v>
      </c>
      <c r="AD75" s="66" t="s">
        <v>23</v>
      </c>
      <c r="AE75" s="54" t="s">
        <v>254</v>
      </c>
      <c r="AF75" s="66" t="s">
        <v>23</v>
      </c>
      <c r="AG75" s="54" t="s">
        <v>254</v>
      </c>
      <c r="AH75" s="55"/>
      <c r="AI75" s="93"/>
      <c r="AJ75" s="94"/>
      <c r="AK75" s="93"/>
      <c r="AL75" s="94"/>
      <c r="AM75" s="93"/>
      <c r="AN75" s="94"/>
      <c r="AO75" s="16"/>
      <c r="AP75" s="16"/>
      <c r="AQ75" s="16"/>
      <c r="AR75" s="16"/>
      <c r="AS75" s="16"/>
      <c r="AT75" s="16"/>
      <c r="AU75" s="16"/>
    </row>
    <row r="76" ht="15.75" customHeight="1">
      <c r="A76" s="39"/>
      <c r="B76" s="72" t="s">
        <v>144</v>
      </c>
      <c r="C76" s="59" t="s">
        <v>255</v>
      </c>
      <c r="D76" s="60" t="s">
        <v>98</v>
      </c>
      <c r="E76" s="61" t="s">
        <v>256</v>
      </c>
      <c r="F76" s="62"/>
      <c r="G76" s="63" t="b">
        <v>0</v>
      </c>
      <c r="H76" s="69" t="s">
        <v>24</v>
      </c>
      <c r="I76" s="47"/>
      <c r="J76" s="69" t="s">
        <v>24</v>
      </c>
      <c r="K76" s="47"/>
      <c r="L76" s="66" t="s">
        <v>24</v>
      </c>
      <c r="M76" s="47"/>
      <c r="N76" s="66" t="s">
        <v>24</v>
      </c>
      <c r="O76" s="47"/>
      <c r="P76" s="66" t="s">
        <v>24</v>
      </c>
      <c r="Q76" s="47"/>
      <c r="R76" s="66" t="s">
        <v>24</v>
      </c>
      <c r="S76" s="86"/>
      <c r="T76" s="67"/>
      <c r="U76" s="68" t="b">
        <v>1</v>
      </c>
      <c r="V76" s="69" t="s">
        <v>21</v>
      </c>
      <c r="W76" s="54" t="s">
        <v>257</v>
      </c>
      <c r="X76" s="69" t="s">
        <v>21</v>
      </c>
      <c r="Y76" s="54" t="s">
        <v>257</v>
      </c>
      <c r="Z76" s="66">
        <v>43.0</v>
      </c>
      <c r="AA76" s="54" t="s">
        <v>257</v>
      </c>
      <c r="AB76" s="66" t="s">
        <v>23</v>
      </c>
      <c r="AC76" s="54" t="s">
        <v>257</v>
      </c>
      <c r="AD76" s="66" t="s">
        <v>23</v>
      </c>
      <c r="AE76" s="54" t="s">
        <v>257</v>
      </c>
      <c r="AF76" s="66" t="s">
        <v>23</v>
      </c>
      <c r="AG76" s="54" t="s">
        <v>257</v>
      </c>
      <c r="AH76" s="55"/>
      <c r="AI76" s="93"/>
      <c r="AJ76" s="94"/>
      <c r="AK76" s="93"/>
      <c r="AL76" s="94"/>
      <c r="AM76" s="93"/>
      <c r="AN76" s="94"/>
      <c r="AO76" s="16"/>
      <c r="AP76" s="16"/>
      <c r="AQ76" s="16"/>
      <c r="AR76" s="16"/>
      <c r="AS76" s="16"/>
      <c r="AT76" s="16"/>
      <c r="AU76" s="16"/>
    </row>
    <row r="77" ht="15.75" customHeight="1">
      <c r="A77" s="39"/>
      <c r="B77" s="72" t="s">
        <v>144</v>
      </c>
      <c r="C77" s="59" t="s">
        <v>258</v>
      </c>
      <c r="D77" s="60" t="s">
        <v>98</v>
      </c>
      <c r="E77" s="61" t="s">
        <v>259</v>
      </c>
      <c r="F77" s="62"/>
      <c r="G77" s="63" t="b">
        <v>1</v>
      </c>
      <c r="H77" s="69" t="s">
        <v>33</v>
      </c>
      <c r="I77" s="47" t="s">
        <v>260</v>
      </c>
      <c r="J77" s="69" t="s">
        <v>33</v>
      </c>
      <c r="K77" s="47" t="s">
        <v>260</v>
      </c>
      <c r="L77" s="66">
        <v>42.0</v>
      </c>
      <c r="M77" s="47" t="s">
        <v>260</v>
      </c>
      <c r="N77" s="66" t="s">
        <v>23</v>
      </c>
      <c r="O77" s="47" t="s">
        <v>260</v>
      </c>
      <c r="P77" s="66" t="s">
        <v>23</v>
      </c>
      <c r="Q77" s="47" t="s">
        <v>261</v>
      </c>
      <c r="R77" s="66" t="s">
        <v>23</v>
      </c>
      <c r="S77" s="86" t="s">
        <v>260</v>
      </c>
      <c r="T77" s="67"/>
      <c r="U77" s="68" t="b">
        <v>0</v>
      </c>
      <c r="V77" s="69" t="s">
        <v>24</v>
      </c>
      <c r="W77" s="54"/>
      <c r="X77" s="69" t="s">
        <v>24</v>
      </c>
      <c r="Y77" s="54"/>
      <c r="Z77" s="66" t="s">
        <v>24</v>
      </c>
      <c r="AA77" s="54"/>
      <c r="AB77" s="66" t="s">
        <v>24</v>
      </c>
      <c r="AC77" s="54"/>
      <c r="AD77" s="66" t="s">
        <v>24</v>
      </c>
      <c r="AE77" s="54"/>
      <c r="AF77" s="66" t="s">
        <v>24</v>
      </c>
      <c r="AG77" s="54"/>
      <c r="AH77" s="55"/>
      <c r="AI77" s="93"/>
      <c r="AJ77" s="94"/>
      <c r="AK77" s="93"/>
      <c r="AL77" s="94"/>
      <c r="AM77" s="93"/>
      <c r="AN77" s="94"/>
      <c r="AO77" s="16"/>
      <c r="AP77" s="16"/>
      <c r="AQ77" s="16"/>
      <c r="AR77" s="16"/>
      <c r="AS77" s="16"/>
      <c r="AT77" s="16"/>
      <c r="AU77" s="16"/>
    </row>
    <row r="78" ht="15.75" customHeight="1">
      <c r="A78" s="39"/>
      <c r="B78" s="72" t="s">
        <v>144</v>
      </c>
      <c r="C78" s="59" t="s">
        <v>262</v>
      </c>
      <c r="D78" s="60" t="s">
        <v>87</v>
      </c>
      <c r="E78" s="61" t="s">
        <v>263</v>
      </c>
      <c r="F78" s="62"/>
      <c r="G78" s="63" t="b">
        <v>0</v>
      </c>
      <c r="H78" s="69" t="s">
        <v>24</v>
      </c>
      <c r="I78" s="47"/>
      <c r="J78" s="69" t="s">
        <v>24</v>
      </c>
      <c r="K78" s="47"/>
      <c r="L78" s="66" t="s">
        <v>24</v>
      </c>
      <c r="M78" s="47"/>
      <c r="N78" s="66" t="s">
        <v>24</v>
      </c>
      <c r="O78" s="47"/>
      <c r="P78" s="66" t="s">
        <v>24</v>
      </c>
      <c r="Q78" s="47"/>
      <c r="R78" s="66" t="s">
        <v>24</v>
      </c>
      <c r="S78" s="86"/>
      <c r="T78" s="67"/>
      <c r="U78" s="68" t="b">
        <v>1</v>
      </c>
      <c r="V78" s="69" t="s">
        <v>51</v>
      </c>
      <c r="W78" s="54" t="s">
        <v>264</v>
      </c>
      <c r="X78" s="69" t="s">
        <v>51</v>
      </c>
      <c r="Y78" s="54" t="s">
        <v>264</v>
      </c>
      <c r="Z78" s="66">
        <v>42.0</v>
      </c>
      <c r="AA78" s="54" t="s">
        <v>264</v>
      </c>
      <c r="AB78" s="66" t="s">
        <v>23</v>
      </c>
      <c r="AC78" s="54" t="s">
        <v>264</v>
      </c>
      <c r="AD78" s="66" t="s">
        <v>23</v>
      </c>
      <c r="AE78" s="54" t="s">
        <v>264</v>
      </c>
      <c r="AF78" s="66" t="s">
        <v>23</v>
      </c>
      <c r="AG78" s="54" t="s">
        <v>264</v>
      </c>
      <c r="AH78" s="55"/>
      <c r="AI78" s="93"/>
      <c r="AJ78" s="94"/>
      <c r="AK78" s="93"/>
      <c r="AL78" s="94"/>
      <c r="AM78" s="93"/>
      <c r="AN78" s="94"/>
      <c r="AO78" s="16"/>
      <c r="AP78" s="16"/>
      <c r="AQ78" s="16"/>
      <c r="AR78" s="16"/>
      <c r="AS78" s="16"/>
      <c r="AT78" s="16"/>
      <c r="AU78" s="16"/>
    </row>
    <row r="79" ht="15.75" customHeight="1">
      <c r="A79" s="39"/>
      <c r="B79" s="72" t="s">
        <v>144</v>
      </c>
      <c r="C79" s="59" t="s">
        <v>265</v>
      </c>
      <c r="D79" s="60" t="s">
        <v>87</v>
      </c>
      <c r="E79" s="61" t="s">
        <v>266</v>
      </c>
      <c r="F79" s="62"/>
      <c r="G79" s="63" t="b">
        <v>0</v>
      </c>
      <c r="H79" s="69" t="s">
        <v>24</v>
      </c>
      <c r="I79" s="47"/>
      <c r="J79" s="69" t="s">
        <v>24</v>
      </c>
      <c r="K79" s="47"/>
      <c r="L79" s="66" t="s">
        <v>24</v>
      </c>
      <c r="M79" s="47"/>
      <c r="N79" s="66" t="s">
        <v>24</v>
      </c>
      <c r="O79" s="47"/>
      <c r="P79" s="66" t="s">
        <v>24</v>
      </c>
      <c r="Q79" s="47"/>
      <c r="R79" s="66" t="s">
        <v>24</v>
      </c>
      <c r="S79" s="86"/>
      <c r="T79" s="67"/>
      <c r="U79" s="68" t="b">
        <v>1</v>
      </c>
      <c r="V79" s="69" t="s">
        <v>33</v>
      </c>
      <c r="W79" s="54" t="s">
        <v>267</v>
      </c>
      <c r="X79" s="69" t="s">
        <v>33</v>
      </c>
      <c r="Y79" s="54" t="s">
        <v>267</v>
      </c>
      <c r="Z79" s="66">
        <v>42.0</v>
      </c>
      <c r="AA79" s="54" t="s">
        <v>267</v>
      </c>
      <c r="AB79" s="66" t="s">
        <v>23</v>
      </c>
      <c r="AC79" s="54" t="s">
        <v>267</v>
      </c>
      <c r="AD79" s="66" t="s">
        <v>23</v>
      </c>
      <c r="AE79" s="54" t="s">
        <v>267</v>
      </c>
      <c r="AF79" s="66" t="s">
        <v>23</v>
      </c>
      <c r="AG79" s="54" t="s">
        <v>267</v>
      </c>
      <c r="AH79" s="55"/>
      <c r="AI79" s="93"/>
      <c r="AJ79" s="94"/>
      <c r="AK79" s="93"/>
      <c r="AL79" s="94"/>
      <c r="AM79" s="93"/>
      <c r="AN79" s="94"/>
      <c r="AO79" s="16"/>
      <c r="AP79" s="16"/>
      <c r="AQ79" s="16"/>
      <c r="AR79" s="16"/>
      <c r="AS79" s="16"/>
      <c r="AT79" s="16"/>
      <c r="AU79" s="16"/>
    </row>
    <row r="80" ht="15.75" customHeight="1">
      <c r="A80" s="39"/>
      <c r="B80" s="72" t="s">
        <v>144</v>
      </c>
      <c r="C80" s="59" t="s">
        <v>268</v>
      </c>
      <c r="D80" s="60" t="s">
        <v>87</v>
      </c>
      <c r="E80" s="61" t="s">
        <v>269</v>
      </c>
      <c r="F80" s="62"/>
      <c r="G80" s="63" t="b">
        <v>0</v>
      </c>
      <c r="H80" s="69" t="s">
        <v>24</v>
      </c>
      <c r="I80" s="47"/>
      <c r="J80" s="69" t="s">
        <v>24</v>
      </c>
      <c r="K80" s="47"/>
      <c r="L80" s="66" t="s">
        <v>24</v>
      </c>
      <c r="M80" s="47"/>
      <c r="N80" s="66" t="s">
        <v>24</v>
      </c>
      <c r="O80" s="47"/>
      <c r="P80" s="66" t="s">
        <v>24</v>
      </c>
      <c r="Q80" s="47"/>
      <c r="R80" s="66" t="s">
        <v>24</v>
      </c>
      <c r="S80" s="86"/>
      <c r="T80" s="67"/>
      <c r="U80" s="68" t="b">
        <v>1</v>
      </c>
      <c r="V80" s="69"/>
      <c r="W80" s="54" t="s">
        <v>270</v>
      </c>
      <c r="X80" s="69"/>
      <c r="Y80" s="54" t="s">
        <v>270</v>
      </c>
      <c r="Z80" s="66"/>
      <c r="AA80" s="54" t="s">
        <v>270</v>
      </c>
      <c r="AB80" s="66"/>
      <c r="AC80" s="54" t="s">
        <v>270</v>
      </c>
      <c r="AD80" s="66"/>
      <c r="AE80" s="54" t="s">
        <v>270</v>
      </c>
      <c r="AF80" s="66"/>
      <c r="AG80" s="54" t="s">
        <v>270</v>
      </c>
      <c r="AH80" s="55"/>
      <c r="AI80" s="93"/>
      <c r="AJ80" s="94"/>
      <c r="AK80" s="93"/>
      <c r="AL80" s="94"/>
      <c r="AM80" s="93"/>
      <c r="AN80" s="94"/>
      <c r="AO80" s="16"/>
      <c r="AP80" s="16"/>
      <c r="AQ80" s="16"/>
      <c r="AR80" s="16"/>
      <c r="AS80" s="16"/>
      <c r="AT80" s="16"/>
      <c r="AU80" s="16"/>
    </row>
    <row r="81" ht="15.75" customHeight="1">
      <c r="A81" s="39"/>
      <c r="B81" s="72" t="s">
        <v>144</v>
      </c>
      <c r="C81" s="59" t="s">
        <v>271</v>
      </c>
      <c r="D81" s="60" t="s">
        <v>87</v>
      </c>
      <c r="E81" s="61" t="s">
        <v>272</v>
      </c>
      <c r="F81" s="62"/>
      <c r="G81" s="63" t="b">
        <v>0</v>
      </c>
      <c r="H81" s="69" t="s">
        <v>24</v>
      </c>
      <c r="I81" s="47"/>
      <c r="J81" s="69" t="s">
        <v>24</v>
      </c>
      <c r="K81" s="47"/>
      <c r="L81" s="66" t="s">
        <v>24</v>
      </c>
      <c r="M81" s="47"/>
      <c r="N81" s="66" t="s">
        <v>24</v>
      </c>
      <c r="O81" s="47"/>
      <c r="P81" s="66" t="s">
        <v>24</v>
      </c>
      <c r="Q81" s="47"/>
      <c r="R81" s="66" t="s">
        <v>24</v>
      </c>
      <c r="S81" s="86"/>
      <c r="T81" s="67"/>
      <c r="U81" s="68" t="b">
        <v>1</v>
      </c>
      <c r="V81" s="69" t="s">
        <v>51</v>
      </c>
      <c r="W81" s="54" t="s">
        <v>273</v>
      </c>
      <c r="X81" s="69" t="s">
        <v>51</v>
      </c>
      <c r="Y81" s="54" t="s">
        <v>273</v>
      </c>
      <c r="Z81" s="66">
        <v>43.0</v>
      </c>
      <c r="AA81" s="54" t="s">
        <v>273</v>
      </c>
      <c r="AB81" s="66" t="s">
        <v>23</v>
      </c>
      <c r="AC81" s="54" t="s">
        <v>273</v>
      </c>
      <c r="AD81" s="66" t="s">
        <v>23</v>
      </c>
      <c r="AE81" s="54" t="s">
        <v>273</v>
      </c>
      <c r="AF81" s="66" t="s">
        <v>23</v>
      </c>
      <c r="AG81" s="54" t="s">
        <v>273</v>
      </c>
      <c r="AH81" s="55"/>
      <c r="AI81" s="93"/>
      <c r="AJ81" s="94"/>
      <c r="AK81" s="93"/>
      <c r="AL81" s="94"/>
      <c r="AM81" s="93"/>
      <c r="AN81" s="94"/>
      <c r="AO81" s="16"/>
      <c r="AP81" s="16"/>
      <c r="AQ81" s="16"/>
      <c r="AR81" s="16"/>
      <c r="AS81" s="16"/>
      <c r="AT81" s="16"/>
      <c r="AU81" s="16"/>
    </row>
    <row r="82" ht="15.75" customHeight="1">
      <c r="A82" s="39"/>
      <c r="B82" s="72" t="s">
        <v>144</v>
      </c>
      <c r="C82" s="59" t="s">
        <v>274</v>
      </c>
      <c r="D82" s="60" t="s">
        <v>87</v>
      </c>
      <c r="E82" s="61" t="s">
        <v>272</v>
      </c>
      <c r="F82" s="62"/>
      <c r="G82" s="63" t="b">
        <v>0</v>
      </c>
      <c r="H82" s="69" t="s">
        <v>24</v>
      </c>
      <c r="I82" s="47"/>
      <c r="J82" s="69" t="s">
        <v>24</v>
      </c>
      <c r="K82" s="47"/>
      <c r="L82" s="66" t="s">
        <v>24</v>
      </c>
      <c r="M82" s="47"/>
      <c r="N82" s="66" t="s">
        <v>24</v>
      </c>
      <c r="O82" s="47"/>
      <c r="P82" s="66" t="s">
        <v>24</v>
      </c>
      <c r="Q82" s="47"/>
      <c r="R82" s="66" t="s">
        <v>24</v>
      </c>
      <c r="S82" s="86"/>
      <c r="T82" s="67"/>
      <c r="U82" s="68" t="b">
        <v>1</v>
      </c>
      <c r="V82" s="69" t="s">
        <v>51</v>
      </c>
      <c r="W82" s="54" t="s">
        <v>275</v>
      </c>
      <c r="X82" s="69" t="s">
        <v>51</v>
      </c>
      <c r="Y82" s="54" t="s">
        <v>275</v>
      </c>
      <c r="Z82" s="66">
        <v>43.0</v>
      </c>
      <c r="AA82" s="54" t="s">
        <v>275</v>
      </c>
      <c r="AB82" s="66" t="s">
        <v>23</v>
      </c>
      <c r="AC82" s="54" t="s">
        <v>275</v>
      </c>
      <c r="AD82" s="66" t="s">
        <v>23</v>
      </c>
      <c r="AE82" s="54" t="s">
        <v>275</v>
      </c>
      <c r="AF82" s="66" t="s">
        <v>23</v>
      </c>
      <c r="AG82" s="54" t="s">
        <v>275</v>
      </c>
      <c r="AH82" s="55"/>
      <c r="AI82" s="93"/>
      <c r="AJ82" s="94"/>
      <c r="AK82" s="93"/>
      <c r="AL82" s="94"/>
      <c r="AM82" s="93"/>
      <c r="AN82" s="94"/>
      <c r="AO82" s="16"/>
      <c r="AP82" s="16"/>
      <c r="AQ82" s="16"/>
      <c r="AR82" s="16"/>
      <c r="AS82" s="16"/>
      <c r="AT82" s="16"/>
      <c r="AU82" s="16"/>
    </row>
    <row r="83" ht="15.75" customHeight="1">
      <c r="A83" s="39"/>
      <c r="B83" s="72" t="s">
        <v>144</v>
      </c>
      <c r="C83" s="59" t="s">
        <v>276</v>
      </c>
      <c r="D83" s="60" t="s">
        <v>87</v>
      </c>
      <c r="E83" s="61" t="s">
        <v>277</v>
      </c>
      <c r="F83" s="62"/>
      <c r="G83" s="63" t="b">
        <v>0</v>
      </c>
      <c r="H83" s="69" t="s">
        <v>24</v>
      </c>
      <c r="I83" s="47"/>
      <c r="J83" s="69" t="s">
        <v>24</v>
      </c>
      <c r="K83" s="47"/>
      <c r="L83" s="66" t="s">
        <v>24</v>
      </c>
      <c r="M83" s="47"/>
      <c r="N83" s="66" t="s">
        <v>24</v>
      </c>
      <c r="O83" s="47"/>
      <c r="P83" s="66" t="s">
        <v>24</v>
      </c>
      <c r="Q83" s="47"/>
      <c r="R83" s="66" t="s">
        <v>24</v>
      </c>
      <c r="S83" s="86"/>
      <c r="T83" s="67"/>
      <c r="U83" s="68" t="b">
        <v>1</v>
      </c>
      <c r="V83" s="69" t="s">
        <v>51</v>
      </c>
      <c r="W83" s="54" t="s">
        <v>278</v>
      </c>
      <c r="X83" s="69" t="s">
        <v>51</v>
      </c>
      <c r="Y83" s="54" t="s">
        <v>278</v>
      </c>
      <c r="Z83" s="66">
        <v>42.0</v>
      </c>
      <c r="AA83" s="54" t="s">
        <v>278</v>
      </c>
      <c r="AB83" s="66" t="s">
        <v>23</v>
      </c>
      <c r="AC83" s="54" t="s">
        <v>278</v>
      </c>
      <c r="AD83" s="66" t="s">
        <v>23</v>
      </c>
      <c r="AE83" s="54" t="s">
        <v>278</v>
      </c>
      <c r="AF83" s="66" t="s">
        <v>23</v>
      </c>
      <c r="AG83" s="54" t="s">
        <v>278</v>
      </c>
      <c r="AH83" s="55"/>
      <c r="AI83" s="93"/>
      <c r="AJ83" s="94"/>
      <c r="AK83" s="93"/>
      <c r="AL83" s="94"/>
      <c r="AM83" s="93"/>
      <c r="AN83" s="94"/>
      <c r="AO83" s="16"/>
      <c r="AP83" s="16"/>
      <c r="AQ83" s="16"/>
      <c r="AR83" s="16"/>
      <c r="AS83" s="16"/>
      <c r="AT83" s="16"/>
      <c r="AU83" s="16"/>
    </row>
    <row r="84" ht="15.75" customHeight="1">
      <c r="A84" s="39"/>
      <c r="B84" s="72" t="s">
        <v>144</v>
      </c>
      <c r="C84" s="59" t="s">
        <v>279</v>
      </c>
      <c r="D84" s="60" t="s">
        <v>98</v>
      </c>
      <c r="E84" s="61" t="s">
        <v>280</v>
      </c>
      <c r="F84" s="62"/>
      <c r="G84" s="63" t="b">
        <v>0</v>
      </c>
      <c r="H84" s="69" t="s">
        <v>24</v>
      </c>
      <c r="I84" s="47"/>
      <c r="J84" s="69" t="s">
        <v>24</v>
      </c>
      <c r="K84" s="47"/>
      <c r="L84" s="66" t="s">
        <v>24</v>
      </c>
      <c r="M84" s="47"/>
      <c r="N84" s="66" t="s">
        <v>24</v>
      </c>
      <c r="O84" s="47"/>
      <c r="P84" s="66" t="s">
        <v>24</v>
      </c>
      <c r="Q84" s="47"/>
      <c r="R84" s="66" t="s">
        <v>24</v>
      </c>
      <c r="S84" s="86"/>
      <c r="T84" s="67"/>
      <c r="U84" s="68" t="b">
        <v>1</v>
      </c>
      <c r="V84" s="69" t="s">
        <v>33</v>
      </c>
      <c r="W84" s="54" t="s">
        <v>281</v>
      </c>
      <c r="X84" s="69" t="s">
        <v>33</v>
      </c>
      <c r="Y84" s="54" t="s">
        <v>281</v>
      </c>
      <c r="Z84" s="66">
        <v>41.0</v>
      </c>
      <c r="AA84" s="54" t="s">
        <v>281</v>
      </c>
      <c r="AB84" s="66" t="s">
        <v>23</v>
      </c>
      <c r="AC84" s="54" t="s">
        <v>281</v>
      </c>
      <c r="AD84" s="66" t="s">
        <v>23</v>
      </c>
      <c r="AE84" s="54" t="s">
        <v>281</v>
      </c>
      <c r="AF84" s="66" t="s">
        <v>23</v>
      </c>
      <c r="AG84" s="54" t="s">
        <v>281</v>
      </c>
      <c r="AH84" s="55"/>
      <c r="AI84" s="93"/>
      <c r="AJ84" s="94"/>
      <c r="AK84" s="93"/>
      <c r="AL84" s="94"/>
      <c r="AM84" s="93"/>
      <c r="AN84" s="94"/>
      <c r="AO84" s="16"/>
      <c r="AP84" s="16"/>
      <c r="AQ84" s="16"/>
      <c r="AR84" s="16"/>
      <c r="AS84" s="16"/>
      <c r="AT84" s="16"/>
      <c r="AU84" s="16"/>
    </row>
    <row r="85" ht="15.75" customHeight="1">
      <c r="A85" s="39"/>
      <c r="B85" s="72" t="s">
        <v>144</v>
      </c>
      <c r="C85" s="59" t="s">
        <v>282</v>
      </c>
      <c r="D85" s="60" t="s">
        <v>87</v>
      </c>
      <c r="E85" s="61" t="s">
        <v>283</v>
      </c>
      <c r="F85" s="62"/>
      <c r="G85" s="63" t="b">
        <v>0</v>
      </c>
      <c r="H85" s="69" t="s">
        <v>24</v>
      </c>
      <c r="I85" s="47"/>
      <c r="J85" s="69" t="s">
        <v>24</v>
      </c>
      <c r="K85" s="47"/>
      <c r="L85" s="66" t="s">
        <v>24</v>
      </c>
      <c r="M85" s="47"/>
      <c r="N85" s="66" t="s">
        <v>24</v>
      </c>
      <c r="O85" s="47"/>
      <c r="P85" s="66" t="s">
        <v>24</v>
      </c>
      <c r="Q85" s="47"/>
      <c r="R85" s="66" t="s">
        <v>24</v>
      </c>
      <c r="S85" s="86"/>
      <c r="T85" s="67"/>
      <c r="U85" s="68" t="b">
        <v>1</v>
      </c>
      <c r="V85" s="69" t="s">
        <v>28</v>
      </c>
      <c r="W85" s="54" t="s">
        <v>284</v>
      </c>
      <c r="X85" s="69" t="s">
        <v>51</v>
      </c>
      <c r="Y85" s="54" t="s">
        <v>284</v>
      </c>
      <c r="Z85" s="66">
        <v>40.0</v>
      </c>
      <c r="AA85" s="54" t="s">
        <v>284</v>
      </c>
      <c r="AB85" s="66" t="s">
        <v>23</v>
      </c>
      <c r="AC85" s="54" t="s">
        <v>284</v>
      </c>
      <c r="AD85" s="66" t="s">
        <v>23</v>
      </c>
      <c r="AE85" s="54" t="s">
        <v>284</v>
      </c>
      <c r="AF85" s="66" t="s">
        <v>23</v>
      </c>
      <c r="AG85" s="54" t="s">
        <v>284</v>
      </c>
      <c r="AH85" s="55"/>
      <c r="AI85" s="93"/>
      <c r="AJ85" s="94"/>
      <c r="AK85" s="93"/>
      <c r="AL85" s="94"/>
      <c r="AM85" s="93"/>
      <c r="AN85" s="94"/>
      <c r="AO85" s="16"/>
      <c r="AP85" s="16"/>
      <c r="AQ85" s="16"/>
      <c r="AR85" s="16"/>
      <c r="AS85" s="16"/>
      <c r="AT85" s="16"/>
      <c r="AU85" s="16"/>
    </row>
    <row r="86" ht="15.75" customHeight="1">
      <c r="A86" s="39"/>
      <c r="B86" s="72" t="s">
        <v>285</v>
      </c>
      <c r="C86" s="59" t="s">
        <v>286</v>
      </c>
      <c r="D86" s="60" t="s">
        <v>24</v>
      </c>
      <c r="E86" s="61" t="s">
        <v>287</v>
      </c>
      <c r="F86" s="62"/>
      <c r="G86" s="63" t="b">
        <v>1</v>
      </c>
      <c r="H86" s="69" t="s">
        <v>33</v>
      </c>
      <c r="I86" s="47" t="s">
        <v>199</v>
      </c>
      <c r="J86" s="69" t="s">
        <v>33</v>
      </c>
      <c r="K86" s="47" t="s">
        <v>199</v>
      </c>
      <c r="L86" s="66">
        <v>40.0</v>
      </c>
      <c r="M86" s="47" t="s">
        <v>199</v>
      </c>
      <c r="N86" s="66" t="s">
        <v>23</v>
      </c>
      <c r="O86" s="47" t="s">
        <v>199</v>
      </c>
      <c r="P86" s="66" t="s">
        <v>23</v>
      </c>
      <c r="Q86" s="47" t="s">
        <v>199</v>
      </c>
      <c r="R86" s="66" t="s">
        <v>24</v>
      </c>
      <c r="S86" s="86"/>
      <c r="T86" s="67"/>
      <c r="U86" s="68" t="b">
        <v>0</v>
      </c>
      <c r="V86" s="69" t="s">
        <v>24</v>
      </c>
      <c r="W86" s="54"/>
      <c r="X86" s="69" t="s">
        <v>24</v>
      </c>
      <c r="Y86" s="54"/>
      <c r="Z86" s="66" t="s">
        <v>24</v>
      </c>
      <c r="AA86" s="54"/>
      <c r="AB86" s="66" t="s">
        <v>24</v>
      </c>
      <c r="AC86" s="54"/>
      <c r="AD86" s="66" t="s">
        <v>24</v>
      </c>
      <c r="AE86" s="54"/>
      <c r="AF86" s="66" t="s">
        <v>24</v>
      </c>
      <c r="AG86" s="54"/>
      <c r="AH86" s="55"/>
      <c r="AI86" s="93"/>
      <c r="AJ86" s="94"/>
      <c r="AK86" s="93"/>
      <c r="AL86" s="94"/>
      <c r="AM86" s="93"/>
      <c r="AN86" s="94"/>
      <c r="AO86" s="16"/>
      <c r="AP86" s="16"/>
      <c r="AQ86" s="16"/>
      <c r="AR86" s="16"/>
      <c r="AS86" s="16"/>
      <c r="AT86" s="16"/>
      <c r="AU86" s="16"/>
    </row>
    <row r="87" ht="15.75" customHeight="1">
      <c r="A87" s="39"/>
      <c r="B87" s="72" t="s">
        <v>285</v>
      </c>
      <c r="C87" s="59" t="s">
        <v>286</v>
      </c>
      <c r="D87" s="60" t="s">
        <v>24</v>
      </c>
      <c r="E87" s="61" t="s">
        <v>287</v>
      </c>
      <c r="F87" s="62"/>
      <c r="G87" s="63" t="b">
        <v>1</v>
      </c>
      <c r="H87" s="69" t="s">
        <v>33</v>
      </c>
      <c r="I87" s="47" t="s">
        <v>261</v>
      </c>
      <c r="J87" s="69" t="s">
        <v>33</v>
      </c>
      <c r="K87" s="47" t="s">
        <v>261</v>
      </c>
      <c r="L87" s="66">
        <v>44.0</v>
      </c>
      <c r="M87" s="47" t="s">
        <v>261</v>
      </c>
      <c r="N87" s="66" t="s">
        <v>23</v>
      </c>
      <c r="O87" s="47" t="s">
        <v>261</v>
      </c>
      <c r="P87" s="66" t="s">
        <v>24</v>
      </c>
      <c r="Q87" s="47"/>
      <c r="R87" s="66" t="s">
        <v>23</v>
      </c>
      <c r="S87" s="86" t="s">
        <v>261</v>
      </c>
      <c r="T87" s="67"/>
      <c r="U87" s="68" t="b">
        <v>0</v>
      </c>
      <c r="V87" s="69" t="s">
        <v>24</v>
      </c>
      <c r="W87" s="54"/>
      <c r="X87" s="69" t="s">
        <v>24</v>
      </c>
      <c r="Y87" s="54"/>
      <c r="Z87" s="66" t="s">
        <v>24</v>
      </c>
      <c r="AA87" s="54"/>
      <c r="AB87" s="66" t="s">
        <v>24</v>
      </c>
      <c r="AC87" s="54"/>
      <c r="AD87" s="66" t="s">
        <v>24</v>
      </c>
      <c r="AE87" s="54"/>
      <c r="AF87" s="66" t="s">
        <v>24</v>
      </c>
      <c r="AG87" s="54"/>
      <c r="AH87" s="55"/>
      <c r="AI87" s="93"/>
      <c r="AJ87" s="94"/>
      <c r="AK87" s="93"/>
      <c r="AL87" s="94"/>
      <c r="AM87" s="93"/>
      <c r="AN87" s="94"/>
      <c r="AO87" s="16"/>
      <c r="AP87" s="16"/>
      <c r="AQ87" s="16"/>
      <c r="AR87" s="16"/>
      <c r="AS87" s="16"/>
      <c r="AT87" s="16"/>
      <c r="AU87" s="16"/>
    </row>
    <row r="88" ht="15.75" customHeight="1">
      <c r="A88" s="39"/>
      <c r="B88" s="72" t="s">
        <v>285</v>
      </c>
      <c r="C88" s="59" t="s">
        <v>286</v>
      </c>
      <c r="D88" s="60" t="s">
        <v>24</v>
      </c>
      <c r="E88" s="61" t="s">
        <v>287</v>
      </c>
      <c r="F88" s="62"/>
      <c r="G88" s="63" t="b">
        <v>1</v>
      </c>
      <c r="H88" s="69" t="s">
        <v>28</v>
      </c>
      <c r="I88" s="47" t="s">
        <v>288</v>
      </c>
      <c r="J88" s="69" t="s">
        <v>33</v>
      </c>
      <c r="K88" s="47" t="s">
        <v>288</v>
      </c>
      <c r="L88" s="66" t="s">
        <v>24</v>
      </c>
      <c r="M88" s="47"/>
      <c r="N88" s="66" t="s">
        <v>24</v>
      </c>
      <c r="O88" s="47"/>
      <c r="P88" s="66" t="s">
        <v>24</v>
      </c>
      <c r="Q88" s="47"/>
      <c r="R88" s="66" t="s">
        <v>24</v>
      </c>
      <c r="S88" s="86"/>
      <c r="T88" s="67"/>
      <c r="U88" s="68" t="b">
        <v>0</v>
      </c>
      <c r="V88" s="69" t="s">
        <v>24</v>
      </c>
      <c r="W88" s="54"/>
      <c r="X88" s="69" t="s">
        <v>24</v>
      </c>
      <c r="Y88" s="54"/>
      <c r="Z88" s="66" t="s">
        <v>24</v>
      </c>
      <c r="AA88" s="54"/>
      <c r="AB88" s="66" t="s">
        <v>24</v>
      </c>
      <c r="AC88" s="54"/>
      <c r="AD88" s="66" t="s">
        <v>24</v>
      </c>
      <c r="AE88" s="54"/>
      <c r="AF88" s="66" t="s">
        <v>24</v>
      </c>
      <c r="AG88" s="54"/>
      <c r="AH88" s="55"/>
      <c r="AI88" s="93"/>
      <c r="AJ88" s="94"/>
      <c r="AK88" s="93"/>
      <c r="AL88" s="94"/>
      <c r="AM88" s="93"/>
      <c r="AN88" s="94"/>
      <c r="AO88" s="16"/>
      <c r="AP88" s="16"/>
      <c r="AQ88" s="16"/>
      <c r="AR88" s="16"/>
      <c r="AS88" s="16"/>
      <c r="AT88" s="16"/>
      <c r="AU88" s="16"/>
    </row>
    <row r="89" ht="15.75" customHeight="1">
      <c r="A89" s="39"/>
      <c r="B89" s="72" t="s">
        <v>285</v>
      </c>
      <c r="C89" s="59" t="s">
        <v>286</v>
      </c>
      <c r="D89" s="60" t="s">
        <v>24</v>
      </c>
      <c r="E89" s="61" t="s">
        <v>287</v>
      </c>
      <c r="F89" s="62"/>
      <c r="G89" s="63" t="b">
        <v>1</v>
      </c>
      <c r="H89" s="69" t="s">
        <v>28</v>
      </c>
      <c r="I89" s="47" t="s">
        <v>289</v>
      </c>
      <c r="J89" s="69" t="s">
        <v>33</v>
      </c>
      <c r="K89" s="47" t="s">
        <v>289</v>
      </c>
      <c r="L89" s="66">
        <v>41.0</v>
      </c>
      <c r="M89" s="47" t="s">
        <v>289</v>
      </c>
      <c r="N89" s="66" t="s">
        <v>23</v>
      </c>
      <c r="O89" s="47" t="s">
        <v>289</v>
      </c>
      <c r="P89" s="66" t="s">
        <v>24</v>
      </c>
      <c r="Q89" s="47"/>
      <c r="R89" s="66" t="s">
        <v>23</v>
      </c>
      <c r="S89" s="86" t="s">
        <v>289</v>
      </c>
      <c r="T89" s="67"/>
      <c r="U89" s="68" t="b">
        <v>0</v>
      </c>
      <c r="V89" s="69" t="s">
        <v>24</v>
      </c>
      <c r="W89" s="54"/>
      <c r="X89" s="69" t="s">
        <v>24</v>
      </c>
      <c r="Y89" s="54"/>
      <c r="Z89" s="66" t="s">
        <v>24</v>
      </c>
      <c r="AA89" s="54"/>
      <c r="AB89" s="66" t="s">
        <v>24</v>
      </c>
      <c r="AC89" s="54"/>
      <c r="AD89" s="66" t="s">
        <v>24</v>
      </c>
      <c r="AE89" s="54"/>
      <c r="AF89" s="66" t="s">
        <v>24</v>
      </c>
      <c r="AG89" s="54"/>
      <c r="AH89" s="55"/>
      <c r="AI89" s="93"/>
      <c r="AJ89" s="94"/>
      <c r="AK89" s="93"/>
      <c r="AL89" s="94"/>
      <c r="AM89" s="93"/>
      <c r="AN89" s="94"/>
      <c r="AO89" s="16"/>
      <c r="AP89" s="16"/>
      <c r="AQ89" s="16"/>
      <c r="AR89" s="16"/>
      <c r="AS89" s="16"/>
      <c r="AT89" s="16"/>
      <c r="AU89" s="16"/>
    </row>
    <row r="90" ht="15.75" customHeight="1">
      <c r="A90" s="39"/>
      <c r="B90" s="72" t="s">
        <v>285</v>
      </c>
      <c r="C90" s="59" t="s">
        <v>286</v>
      </c>
      <c r="D90" s="60" t="s">
        <v>24</v>
      </c>
      <c r="E90" s="61" t="s">
        <v>287</v>
      </c>
      <c r="F90" s="62"/>
      <c r="G90" s="63" t="b">
        <v>0</v>
      </c>
      <c r="H90" s="69" t="s">
        <v>24</v>
      </c>
      <c r="I90" s="47"/>
      <c r="J90" s="69" t="s">
        <v>24</v>
      </c>
      <c r="K90" s="47"/>
      <c r="L90" s="66" t="s">
        <v>24</v>
      </c>
      <c r="M90" s="47"/>
      <c r="N90" s="66" t="s">
        <v>24</v>
      </c>
      <c r="O90" s="47"/>
      <c r="P90" s="66" t="s">
        <v>24</v>
      </c>
      <c r="Q90" s="47"/>
      <c r="R90" s="66" t="s">
        <v>24</v>
      </c>
      <c r="S90" s="86"/>
      <c r="T90" s="67"/>
      <c r="U90" s="68" t="b">
        <v>0</v>
      </c>
      <c r="V90" s="69" t="s">
        <v>24</v>
      </c>
      <c r="W90" s="54"/>
      <c r="X90" s="69" t="s">
        <v>24</v>
      </c>
      <c r="Y90" s="54"/>
      <c r="Z90" s="66" t="s">
        <v>24</v>
      </c>
      <c r="AA90" s="54"/>
      <c r="AB90" s="66" t="s">
        <v>24</v>
      </c>
      <c r="AC90" s="54"/>
      <c r="AD90" s="66" t="s">
        <v>24</v>
      </c>
      <c r="AE90" s="54"/>
      <c r="AF90" s="66" t="s">
        <v>24</v>
      </c>
      <c r="AG90" s="54"/>
      <c r="AH90" s="55"/>
      <c r="AI90" s="93"/>
      <c r="AJ90" s="94"/>
      <c r="AK90" s="93"/>
      <c r="AL90" s="94"/>
      <c r="AM90" s="93"/>
      <c r="AN90" s="94"/>
      <c r="AO90" s="16"/>
      <c r="AP90" s="16"/>
      <c r="AQ90" s="16"/>
      <c r="AR90" s="16"/>
      <c r="AS90" s="16"/>
      <c r="AT90" s="16"/>
      <c r="AU90" s="16"/>
    </row>
    <row r="91" ht="15.75" customHeight="1">
      <c r="A91" s="39"/>
      <c r="B91" s="72" t="s">
        <v>285</v>
      </c>
      <c r="C91" s="59" t="s">
        <v>286</v>
      </c>
      <c r="D91" s="60" t="s">
        <v>24</v>
      </c>
      <c r="E91" s="61" t="s">
        <v>287</v>
      </c>
      <c r="F91" s="62"/>
      <c r="G91" s="63" t="b">
        <v>0</v>
      </c>
      <c r="H91" s="69" t="s">
        <v>24</v>
      </c>
      <c r="I91" s="47"/>
      <c r="J91" s="69" t="s">
        <v>24</v>
      </c>
      <c r="K91" s="47"/>
      <c r="L91" s="66" t="s">
        <v>24</v>
      </c>
      <c r="M91" s="47"/>
      <c r="N91" s="66" t="s">
        <v>24</v>
      </c>
      <c r="O91" s="47"/>
      <c r="P91" s="66" t="s">
        <v>24</v>
      </c>
      <c r="Q91" s="47"/>
      <c r="R91" s="66" t="s">
        <v>24</v>
      </c>
      <c r="S91" s="86"/>
      <c r="T91" s="67"/>
      <c r="U91" s="68" t="b">
        <v>0</v>
      </c>
      <c r="V91" s="69" t="s">
        <v>24</v>
      </c>
      <c r="W91" s="54"/>
      <c r="X91" s="69" t="s">
        <v>24</v>
      </c>
      <c r="Y91" s="54"/>
      <c r="Z91" s="66" t="s">
        <v>24</v>
      </c>
      <c r="AA91" s="54"/>
      <c r="AB91" s="66" t="s">
        <v>24</v>
      </c>
      <c r="AC91" s="54"/>
      <c r="AD91" s="66" t="s">
        <v>24</v>
      </c>
      <c r="AE91" s="54"/>
      <c r="AF91" s="66" t="s">
        <v>24</v>
      </c>
      <c r="AG91" s="54"/>
      <c r="AH91" s="55"/>
      <c r="AI91" s="93"/>
      <c r="AJ91" s="94"/>
      <c r="AK91" s="93"/>
      <c r="AL91" s="94"/>
      <c r="AM91" s="93"/>
      <c r="AN91" s="94"/>
      <c r="AO91" s="16"/>
      <c r="AP91" s="16"/>
      <c r="AQ91" s="16"/>
      <c r="AR91" s="16"/>
      <c r="AS91" s="16"/>
      <c r="AT91" s="16"/>
      <c r="AU91" s="16"/>
    </row>
    <row r="92" ht="15.75" customHeight="1">
      <c r="A92" s="39"/>
      <c r="B92" s="72" t="s">
        <v>24</v>
      </c>
      <c r="C92" s="59"/>
      <c r="D92" s="60" t="s">
        <v>24</v>
      </c>
      <c r="E92" s="61"/>
      <c r="F92" s="62"/>
      <c r="G92" s="63" t="b">
        <v>0</v>
      </c>
      <c r="H92" s="69" t="s">
        <v>24</v>
      </c>
      <c r="I92" s="47"/>
      <c r="J92" s="69" t="s">
        <v>24</v>
      </c>
      <c r="K92" s="47"/>
      <c r="L92" s="66" t="s">
        <v>24</v>
      </c>
      <c r="M92" s="47"/>
      <c r="N92" s="66" t="s">
        <v>24</v>
      </c>
      <c r="O92" s="47"/>
      <c r="P92" s="66" t="s">
        <v>24</v>
      </c>
      <c r="Q92" s="47"/>
      <c r="R92" s="66" t="s">
        <v>24</v>
      </c>
      <c r="S92" s="86"/>
      <c r="T92" s="67"/>
      <c r="U92" s="68" t="b">
        <v>0</v>
      </c>
      <c r="V92" s="69" t="s">
        <v>24</v>
      </c>
      <c r="W92" s="54"/>
      <c r="X92" s="69" t="s">
        <v>24</v>
      </c>
      <c r="Y92" s="54"/>
      <c r="Z92" s="66" t="s">
        <v>24</v>
      </c>
      <c r="AA92" s="54"/>
      <c r="AB92" s="66" t="s">
        <v>24</v>
      </c>
      <c r="AC92" s="54"/>
      <c r="AD92" s="66" t="s">
        <v>24</v>
      </c>
      <c r="AE92" s="54"/>
      <c r="AF92" s="66" t="s">
        <v>24</v>
      </c>
      <c r="AG92" s="54"/>
      <c r="AH92" s="55"/>
      <c r="AI92" s="93"/>
      <c r="AJ92" s="94"/>
      <c r="AK92" s="93"/>
      <c r="AL92" s="94"/>
      <c r="AM92" s="93"/>
      <c r="AN92" s="94"/>
      <c r="AO92" s="16"/>
      <c r="AP92" s="16"/>
      <c r="AQ92" s="16"/>
      <c r="AR92" s="16"/>
      <c r="AS92" s="16"/>
      <c r="AT92" s="16"/>
      <c r="AU92" s="16"/>
    </row>
    <row r="93" ht="15.75" customHeight="1">
      <c r="A93" s="39"/>
      <c r="B93" s="72" t="s">
        <v>24</v>
      </c>
      <c r="C93" s="59"/>
      <c r="D93" s="60" t="s">
        <v>24</v>
      </c>
      <c r="E93" s="61"/>
      <c r="F93" s="62"/>
      <c r="G93" s="63" t="b">
        <v>0</v>
      </c>
      <c r="H93" s="69" t="s">
        <v>24</v>
      </c>
      <c r="I93" s="47"/>
      <c r="J93" s="69" t="s">
        <v>24</v>
      </c>
      <c r="K93" s="47"/>
      <c r="L93" s="66" t="s">
        <v>24</v>
      </c>
      <c r="M93" s="47"/>
      <c r="N93" s="66" t="s">
        <v>24</v>
      </c>
      <c r="O93" s="47"/>
      <c r="P93" s="66" t="s">
        <v>24</v>
      </c>
      <c r="Q93" s="47"/>
      <c r="R93" s="66" t="s">
        <v>24</v>
      </c>
      <c r="S93" s="86"/>
      <c r="T93" s="67"/>
      <c r="U93" s="68" t="b">
        <v>0</v>
      </c>
      <c r="V93" s="69" t="s">
        <v>24</v>
      </c>
      <c r="W93" s="54"/>
      <c r="X93" s="69" t="s">
        <v>24</v>
      </c>
      <c r="Y93" s="54"/>
      <c r="Z93" s="66" t="s">
        <v>24</v>
      </c>
      <c r="AA93" s="54"/>
      <c r="AB93" s="66" t="s">
        <v>24</v>
      </c>
      <c r="AC93" s="54"/>
      <c r="AD93" s="66" t="s">
        <v>24</v>
      </c>
      <c r="AE93" s="54"/>
      <c r="AF93" s="66" t="s">
        <v>24</v>
      </c>
      <c r="AG93" s="54"/>
      <c r="AH93" s="55"/>
      <c r="AI93" s="93"/>
      <c r="AJ93" s="94"/>
      <c r="AK93" s="93"/>
      <c r="AL93" s="94"/>
      <c r="AM93" s="93"/>
      <c r="AN93" s="94"/>
      <c r="AO93" s="16"/>
      <c r="AP93" s="16"/>
      <c r="AQ93" s="16"/>
      <c r="AR93" s="16"/>
      <c r="AS93" s="16"/>
      <c r="AT93" s="16"/>
      <c r="AU93" s="16"/>
    </row>
    <row r="94" ht="15.75" customHeight="1">
      <c r="A94" s="39"/>
      <c r="B94" s="72" t="s">
        <v>24</v>
      </c>
      <c r="C94" s="59"/>
      <c r="D94" s="60" t="s">
        <v>24</v>
      </c>
      <c r="E94" s="61"/>
      <c r="F94" s="62"/>
      <c r="G94" s="63" t="b">
        <v>0</v>
      </c>
      <c r="H94" s="69" t="s">
        <v>24</v>
      </c>
      <c r="I94" s="47"/>
      <c r="J94" s="69" t="s">
        <v>24</v>
      </c>
      <c r="K94" s="47"/>
      <c r="L94" s="66" t="s">
        <v>24</v>
      </c>
      <c r="M94" s="47"/>
      <c r="N94" s="66" t="s">
        <v>24</v>
      </c>
      <c r="O94" s="47"/>
      <c r="P94" s="66" t="s">
        <v>24</v>
      </c>
      <c r="Q94" s="47"/>
      <c r="R94" s="66" t="s">
        <v>24</v>
      </c>
      <c r="S94" s="86"/>
      <c r="T94" s="67"/>
      <c r="U94" s="68" t="b">
        <v>0</v>
      </c>
      <c r="V94" s="69" t="s">
        <v>24</v>
      </c>
      <c r="W94" s="54"/>
      <c r="X94" s="69" t="s">
        <v>24</v>
      </c>
      <c r="Y94" s="54"/>
      <c r="Z94" s="66" t="s">
        <v>24</v>
      </c>
      <c r="AA94" s="54"/>
      <c r="AB94" s="66" t="s">
        <v>24</v>
      </c>
      <c r="AC94" s="54"/>
      <c r="AD94" s="66" t="s">
        <v>24</v>
      </c>
      <c r="AE94" s="54"/>
      <c r="AF94" s="66" t="s">
        <v>24</v>
      </c>
      <c r="AG94" s="54"/>
      <c r="AH94" s="55"/>
      <c r="AI94" s="93"/>
      <c r="AJ94" s="94"/>
      <c r="AK94" s="93"/>
      <c r="AL94" s="94"/>
      <c r="AM94" s="93"/>
      <c r="AN94" s="94"/>
      <c r="AO94" s="16"/>
      <c r="AP94" s="16"/>
      <c r="AQ94" s="16"/>
      <c r="AR94" s="16"/>
      <c r="AS94" s="16"/>
      <c r="AT94" s="16"/>
      <c r="AU94" s="16"/>
    </row>
    <row r="95" ht="15.75" customHeight="1">
      <c r="A95" s="39"/>
      <c r="B95" s="72" t="s">
        <v>24</v>
      </c>
      <c r="C95" s="59"/>
      <c r="D95" s="60" t="s">
        <v>24</v>
      </c>
      <c r="E95" s="61"/>
      <c r="F95" s="62"/>
      <c r="G95" s="63" t="b">
        <v>0</v>
      </c>
      <c r="H95" s="69" t="s">
        <v>24</v>
      </c>
      <c r="I95" s="47"/>
      <c r="J95" s="69" t="s">
        <v>24</v>
      </c>
      <c r="K95" s="47"/>
      <c r="L95" s="66" t="s">
        <v>24</v>
      </c>
      <c r="M95" s="47"/>
      <c r="N95" s="66" t="s">
        <v>24</v>
      </c>
      <c r="O95" s="47"/>
      <c r="P95" s="66" t="s">
        <v>24</v>
      </c>
      <c r="Q95" s="47"/>
      <c r="R95" s="66" t="s">
        <v>24</v>
      </c>
      <c r="S95" s="86"/>
      <c r="T95" s="67"/>
      <c r="U95" s="68" t="b">
        <v>0</v>
      </c>
      <c r="V95" s="69" t="s">
        <v>24</v>
      </c>
      <c r="W95" s="54"/>
      <c r="X95" s="69" t="s">
        <v>24</v>
      </c>
      <c r="Y95" s="54"/>
      <c r="Z95" s="66" t="s">
        <v>24</v>
      </c>
      <c r="AA95" s="54"/>
      <c r="AB95" s="66" t="s">
        <v>24</v>
      </c>
      <c r="AC95" s="54"/>
      <c r="AD95" s="66" t="s">
        <v>24</v>
      </c>
      <c r="AE95" s="54"/>
      <c r="AF95" s="66" t="s">
        <v>24</v>
      </c>
      <c r="AG95" s="54"/>
      <c r="AH95" s="55"/>
      <c r="AI95" s="93"/>
      <c r="AJ95" s="94"/>
      <c r="AK95" s="93"/>
      <c r="AL95" s="94"/>
      <c r="AM95" s="93"/>
      <c r="AN95" s="94"/>
      <c r="AO95" s="16"/>
      <c r="AP95" s="16"/>
      <c r="AQ95" s="16"/>
      <c r="AR95" s="16"/>
      <c r="AS95" s="16"/>
      <c r="AT95" s="16"/>
      <c r="AU95" s="16"/>
    </row>
    <row r="96" ht="15.75" customHeight="1">
      <c r="A96" s="39"/>
      <c r="B96" s="72" t="s">
        <v>24</v>
      </c>
      <c r="C96" s="59"/>
      <c r="D96" s="60" t="s">
        <v>24</v>
      </c>
      <c r="E96" s="61"/>
      <c r="F96" s="62"/>
      <c r="G96" s="63" t="b">
        <v>0</v>
      </c>
      <c r="H96" s="69" t="s">
        <v>24</v>
      </c>
      <c r="I96" s="47"/>
      <c r="J96" s="69" t="s">
        <v>24</v>
      </c>
      <c r="K96" s="47"/>
      <c r="L96" s="66" t="s">
        <v>24</v>
      </c>
      <c r="M96" s="47"/>
      <c r="N96" s="66" t="s">
        <v>24</v>
      </c>
      <c r="O96" s="47"/>
      <c r="P96" s="66" t="s">
        <v>24</v>
      </c>
      <c r="Q96" s="47"/>
      <c r="R96" s="66" t="s">
        <v>24</v>
      </c>
      <c r="S96" s="86"/>
      <c r="T96" s="67"/>
      <c r="U96" s="68" t="b">
        <v>0</v>
      </c>
      <c r="V96" s="69" t="s">
        <v>24</v>
      </c>
      <c r="W96" s="54"/>
      <c r="X96" s="69" t="s">
        <v>24</v>
      </c>
      <c r="Y96" s="54"/>
      <c r="Z96" s="66" t="s">
        <v>24</v>
      </c>
      <c r="AA96" s="54"/>
      <c r="AB96" s="66" t="s">
        <v>24</v>
      </c>
      <c r="AC96" s="54"/>
      <c r="AD96" s="66" t="s">
        <v>24</v>
      </c>
      <c r="AE96" s="54"/>
      <c r="AF96" s="66" t="s">
        <v>24</v>
      </c>
      <c r="AG96" s="54"/>
      <c r="AH96" s="55"/>
      <c r="AI96" s="93"/>
      <c r="AJ96" s="94"/>
      <c r="AK96" s="93"/>
      <c r="AL96" s="94"/>
      <c r="AM96" s="93"/>
      <c r="AN96" s="94"/>
      <c r="AO96" s="16"/>
      <c r="AP96" s="16"/>
      <c r="AQ96" s="16"/>
      <c r="AR96" s="16"/>
      <c r="AS96" s="16"/>
      <c r="AT96" s="16"/>
      <c r="AU96" s="16"/>
    </row>
    <row r="97" ht="15.75" customHeight="1">
      <c r="A97" s="39"/>
      <c r="B97" s="72" t="s">
        <v>24</v>
      </c>
      <c r="C97" s="59"/>
      <c r="D97" s="60" t="s">
        <v>24</v>
      </c>
      <c r="E97" s="61"/>
      <c r="F97" s="62"/>
      <c r="G97" s="63" t="b">
        <v>0</v>
      </c>
      <c r="H97" s="69" t="s">
        <v>24</v>
      </c>
      <c r="I97" s="47"/>
      <c r="J97" s="69" t="s">
        <v>24</v>
      </c>
      <c r="K97" s="47"/>
      <c r="L97" s="66" t="s">
        <v>24</v>
      </c>
      <c r="M97" s="47"/>
      <c r="N97" s="66" t="s">
        <v>24</v>
      </c>
      <c r="O97" s="47"/>
      <c r="P97" s="66" t="s">
        <v>24</v>
      </c>
      <c r="Q97" s="47"/>
      <c r="R97" s="66" t="s">
        <v>24</v>
      </c>
      <c r="S97" s="86"/>
      <c r="T97" s="67"/>
      <c r="U97" s="68" t="b">
        <v>0</v>
      </c>
      <c r="V97" s="69" t="s">
        <v>24</v>
      </c>
      <c r="W97" s="54"/>
      <c r="X97" s="69" t="s">
        <v>24</v>
      </c>
      <c r="Y97" s="54"/>
      <c r="Z97" s="66" t="s">
        <v>24</v>
      </c>
      <c r="AA97" s="54"/>
      <c r="AB97" s="66" t="s">
        <v>24</v>
      </c>
      <c r="AC97" s="54"/>
      <c r="AD97" s="66" t="s">
        <v>24</v>
      </c>
      <c r="AE97" s="54"/>
      <c r="AF97" s="66" t="s">
        <v>24</v>
      </c>
      <c r="AG97" s="54"/>
      <c r="AH97" s="55"/>
      <c r="AI97" s="93"/>
      <c r="AJ97" s="94"/>
      <c r="AK97" s="93"/>
      <c r="AL97" s="94"/>
      <c r="AM97" s="93"/>
      <c r="AN97" s="94"/>
      <c r="AO97" s="16"/>
      <c r="AP97" s="16"/>
      <c r="AQ97" s="16"/>
      <c r="AR97" s="16"/>
      <c r="AS97" s="16"/>
      <c r="AT97" s="16"/>
      <c r="AU97" s="16"/>
    </row>
    <row r="98" ht="15.75" customHeight="1">
      <c r="A98" s="39"/>
      <c r="B98" s="72" t="s">
        <v>24</v>
      </c>
      <c r="C98" s="59"/>
      <c r="D98" s="60" t="s">
        <v>24</v>
      </c>
      <c r="E98" s="61"/>
      <c r="F98" s="96"/>
      <c r="G98" s="63" t="b">
        <v>0</v>
      </c>
      <c r="H98" s="69" t="s">
        <v>24</v>
      </c>
      <c r="I98" s="47"/>
      <c r="J98" s="69" t="s">
        <v>24</v>
      </c>
      <c r="K98" s="47"/>
      <c r="L98" s="66" t="s">
        <v>24</v>
      </c>
      <c r="M98" s="47"/>
      <c r="N98" s="66" t="s">
        <v>24</v>
      </c>
      <c r="O98" s="47"/>
      <c r="P98" s="66" t="s">
        <v>24</v>
      </c>
      <c r="Q98" s="47"/>
      <c r="R98" s="66" t="s">
        <v>24</v>
      </c>
      <c r="S98" s="86"/>
      <c r="T98" s="97"/>
      <c r="U98" s="68" t="b">
        <v>0</v>
      </c>
      <c r="V98" s="69" t="s">
        <v>24</v>
      </c>
      <c r="W98" s="54"/>
      <c r="X98" s="69" t="s">
        <v>24</v>
      </c>
      <c r="Y98" s="54"/>
      <c r="Z98" s="66" t="s">
        <v>24</v>
      </c>
      <c r="AA98" s="54"/>
      <c r="AB98" s="66" t="s">
        <v>24</v>
      </c>
      <c r="AC98" s="54"/>
      <c r="AD98" s="66" t="s">
        <v>24</v>
      </c>
      <c r="AE98" s="54"/>
      <c r="AF98" s="66" t="s">
        <v>24</v>
      </c>
      <c r="AG98" s="54"/>
      <c r="AH98" s="55"/>
      <c r="AI98" s="93"/>
      <c r="AJ98" s="94"/>
      <c r="AK98" s="93"/>
      <c r="AL98" s="94"/>
      <c r="AM98" s="93"/>
      <c r="AN98" s="94"/>
      <c r="AO98" s="16"/>
      <c r="AP98" s="16"/>
      <c r="AQ98" s="16"/>
      <c r="AR98" s="16"/>
      <c r="AS98" s="16"/>
      <c r="AT98" s="16"/>
      <c r="AU98" s="16"/>
    </row>
    <row r="99">
      <c r="A99" s="55"/>
      <c r="B99" s="98"/>
      <c r="C99" s="99"/>
      <c r="D99" s="98"/>
      <c r="E99" s="100"/>
      <c r="F99" s="101"/>
      <c r="G99" s="101"/>
      <c r="H99" s="55"/>
      <c r="I99" s="102"/>
      <c r="J99" s="55"/>
      <c r="K99" s="102"/>
      <c r="L99" s="55"/>
      <c r="M99" s="102"/>
      <c r="N99" s="55"/>
      <c r="O99" s="102"/>
      <c r="P99" s="55"/>
      <c r="Q99" s="102"/>
      <c r="R99" s="55"/>
      <c r="S99" s="102"/>
      <c r="T99" s="103"/>
      <c r="U99" s="103"/>
      <c r="V99" s="55"/>
      <c r="W99" s="104"/>
      <c r="X99" s="55"/>
      <c r="Y99" s="104"/>
      <c r="Z99" s="55"/>
      <c r="AA99" s="104"/>
      <c r="AB99" s="55"/>
      <c r="AC99" s="104"/>
      <c r="AD99" s="55"/>
      <c r="AE99" s="104"/>
      <c r="AF99" s="55"/>
      <c r="AG99" s="104"/>
      <c r="AH99" s="55"/>
      <c r="AI99" s="93"/>
      <c r="AJ99" s="94"/>
      <c r="AK99" s="93"/>
      <c r="AL99" s="94"/>
      <c r="AM99" s="93"/>
      <c r="AN99" s="94"/>
      <c r="AO99" s="16"/>
      <c r="AP99" s="16"/>
      <c r="AQ99" s="16"/>
      <c r="AR99" s="16"/>
      <c r="AS99" s="16"/>
      <c r="AT99" s="16"/>
      <c r="AU99" s="16"/>
    </row>
    <row r="100">
      <c r="B100" s="105"/>
      <c r="C100" s="106"/>
      <c r="D100" s="107"/>
      <c r="E100" s="108"/>
      <c r="F100" s="109"/>
      <c r="G100" s="109"/>
      <c r="I100" s="110"/>
      <c r="K100" s="110"/>
      <c r="M100" s="110"/>
      <c r="O100" s="110"/>
      <c r="Q100" s="110"/>
      <c r="S100" s="110"/>
      <c r="T100" s="111"/>
      <c r="U100" s="111"/>
      <c r="W100" s="112"/>
      <c r="Y100" s="112"/>
      <c r="AA100" s="112"/>
      <c r="AC100" s="112"/>
      <c r="AE100" s="112"/>
      <c r="AG100" s="112"/>
      <c r="AI100" s="113"/>
      <c r="AJ100" s="114"/>
      <c r="AK100" s="113"/>
      <c r="AL100" s="114"/>
      <c r="AM100" s="113"/>
      <c r="AN100" s="114"/>
      <c r="AO100" s="115"/>
      <c r="AP100" s="114"/>
      <c r="AQ100" s="115"/>
      <c r="AR100" s="114"/>
      <c r="AS100" s="115"/>
      <c r="AT100" s="114"/>
      <c r="AU100" s="114"/>
    </row>
    <row r="101">
      <c r="B101" s="105"/>
      <c r="C101" s="106"/>
      <c r="D101" s="107"/>
      <c r="E101" s="108"/>
      <c r="F101" s="109"/>
      <c r="G101" s="109"/>
      <c r="I101" s="110"/>
      <c r="K101" s="110"/>
      <c r="M101" s="110"/>
      <c r="O101" s="110"/>
      <c r="Q101" s="110"/>
      <c r="S101" s="110"/>
      <c r="T101" s="111"/>
      <c r="U101" s="111"/>
      <c r="W101" s="112"/>
      <c r="Y101" s="112"/>
      <c r="AA101" s="112"/>
      <c r="AC101" s="112"/>
      <c r="AE101" s="112"/>
      <c r="AG101" s="112"/>
      <c r="AI101" s="113"/>
      <c r="AJ101" s="114"/>
      <c r="AK101" s="113"/>
      <c r="AL101" s="114"/>
      <c r="AM101" s="113"/>
      <c r="AN101" s="114"/>
      <c r="AO101" s="115"/>
      <c r="AP101" s="114"/>
      <c r="AQ101" s="115"/>
      <c r="AR101" s="114"/>
      <c r="AS101" s="115"/>
      <c r="AT101" s="114"/>
      <c r="AU101" s="114"/>
    </row>
    <row r="102">
      <c r="B102" s="105"/>
      <c r="C102" s="106"/>
      <c r="D102" s="107"/>
      <c r="E102" s="108"/>
      <c r="F102" s="109"/>
      <c r="G102" s="109"/>
      <c r="I102" s="110"/>
      <c r="K102" s="110"/>
      <c r="M102" s="110"/>
      <c r="O102" s="110"/>
      <c r="Q102" s="110"/>
      <c r="S102" s="110"/>
      <c r="T102" s="111"/>
      <c r="U102" s="111"/>
      <c r="W102" s="112"/>
      <c r="Y102" s="112"/>
      <c r="AA102" s="112"/>
      <c r="AC102" s="112"/>
      <c r="AE102" s="112"/>
      <c r="AG102" s="112"/>
      <c r="AI102" s="113"/>
      <c r="AJ102" s="114"/>
      <c r="AK102" s="113"/>
      <c r="AL102" s="114"/>
      <c r="AM102" s="113"/>
      <c r="AN102" s="114"/>
      <c r="AO102" s="115"/>
      <c r="AP102" s="114"/>
      <c r="AQ102" s="115"/>
      <c r="AR102" s="114"/>
      <c r="AS102" s="115"/>
      <c r="AT102" s="114"/>
      <c r="AU102" s="114"/>
    </row>
    <row r="103">
      <c r="B103" s="105"/>
      <c r="C103" s="106"/>
      <c r="D103" s="107"/>
      <c r="E103" s="108"/>
      <c r="F103" s="109"/>
      <c r="G103" s="109"/>
      <c r="I103" s="110"/>
      <c r="K103" s="110"/>
      <c r="M103" s="110"/>
      <c r="O103" s="110"/>
      <c r="Q103" s="110"/>
      <c r="S103" s="110"/>
      <c r="W103" s="112"/>
      <c r="Y103" s="112"/>
      <c r="AA103" s="112"/>
      <c r="AC103" s="112"/>
      <c r="AE103" s="112"/>
      <c r="AG103" s="112"/>
      <c r="AI103" s="113"/>
      <c r="AJ103" s="114"/>
      <c r="AK103" s="113"/>
      <c r="AL103" s="114"/>
      <c r="AM103" s="113"/>
      <c r="AN103" s="114"/>
      <c r="AO103" s="115"/>
      <c r="AP103" s="114"/>
      <c r="AQ103" s="115"/>
      <c r="AR103" s="114"/>
      <c r="AS103" s="115"/>
      <c r="AT103" s="114"/>
      <c r="AU103" s="114"/>
    </row>
    <row r="104">
      <c r="B104" s="105"/>
      <c r="C104" s="106"/>
      <c r="D104" s="107"/>
      <c r="E104" s="108"/>
      <c r="F104" s="109"/>
      <c r="G104" s="109"/>
      <c r="I104" s="110"/>
      <c r="K104" s="110"/>
      <c r="M104" s="110"/>
      <c r="O104" s="110"/>
      <c r="Q104" s="110"/>
      <c r="S104" s="110"/>
      <c r="W104" s="112"/>
      <c r="Y104" s="112"/>
      <c r="AA104" s="112"/>
      <c r="AC104" s="112"/>
      <c r="AE104" s="112"/>
      <c r="AG104" s="112"/>
      <c r="AI104" s="113"/>
      <c r="AJ104" s="114"/>
      <c r="AK104" s="113"/>
      <c r="AL104" s="114"/>
      <c r="AM104" s="113"/>
      <c r="AN104" s="114"/>
      <c r="AO104" s="115"/>
      <c r="AP104" s="114"/>
      <c r="AQ104" s="115"/>
      <c r="AR104" s="114"/>
      <c r="AS104" s="115"/>
      <c r="AT104" s="114"/>
      <c r="AU104" s="114"/>
    </row>
    <row r="105">
      <c r="B105" s="105"/>
      <c r="C105" s="106"/>
      <c r="D105" s="107"/>
      <c r="E105" s="108"/>
      <c r="F105" s="109"/>
      <c r="G105" s="109"/>
      <c r="I105" s="110"/>
      <c r="K105" s="110"/>
      <c r="M105" s="110"/>
      <c r="O105" s="110"/>
      <c r="Q105" s="110"/>
      <c r="S105" s="110"/>
      <c r="W105" s="112"/>
      <c r="Y105" s="112"/>
      <c r="AA105" s="112"/>
      <c r="AC105" s="112"/>
      <c r="AE105" s="112"/>
      <c r="AG105" s="112"/>
      <c r="AI105" s="113"/>
      <c r="AJ105" s="114"/>
      <c r="AK105" s="113"/>
      <c r="AL105" s="114"/>
      <c r="AM105" s="113"/>
      <c r="AN105" s="114"/>
      <c r="AO105" s="115"/>
      <c r="AP105" s="114"/>
      <c r="AQ105" s="115"/>
      <c r="AR105" s="114"/>
      <c r="AS105" s="115"/>
      <c r="AT105" s="114"/>
      <c r="AU105" s="114"/>
    </row>
    <row r="106">
      <c r="B106" s="105"/>
      <c r="C106" s="106"/>
      <c r="D106" s="107"/>
      <c r="E106" s="108"/>
      <c r="F106" s="109"/>
      <c r="G106" s="109"/>
      <c r="I106" s="110"/>
      <c r="K106" s="110"/>
      <c r="M106" s="110"/>
      <c r="O106" s="110"/>
      <c r="Q106" s="110"/>
      <c r="S106" s="110"/>
      <c r="W106" s="112"/>
      <c r="Y106" s="112"/>
      <c r="AA106" s="112"/>
      <c r="AC106" s="112"/>
      <c r="AE106" s="112"/>
      <c r="AG106" s="112"/>
      <c r="AI106" s="113"/>
      <c r="AJ106" s="114"/>
      <c r="AK106" s="113"/>
      <c r="AL106" s="114"/>
      <c r="AM106" s="113"/>
      <c r="AN106" s="114"/>
      <c r="AO106" s="115"/>
      <c r="AP106" s="114"/>
      <c r="AQ106" s="115"/>
      <c r="AR106" s="114"/>
      <c r="AS106" s="115"/>
      <c r="AT106" s="114"/>
      <c r="AU106" s="114"/>
    </row>
    <row r="107">
      <c r="B107" s="105"/>
      <c r="C107" s="106"/>
      <c r="D107" s="107"/>
      <c r="E107" s="108"/>
      <c r="F107" s="109"/>
      <c r="G107" s="109"/>
      <c r="I107" s="110"/>
      <c r="K107" s="110"/>
      <c r="M107" s="110"/>
      <c r="O107" s="110"/>
      <c r="Q107" s="110"/>
      <c r="S107" s="110"/>
      <c r="W107" s="112"/>
      <c r="Y107" s="112"/>
      <c r="AA107" s="112"/>
      <c r="AC107" s="112"/>
      <c r="AE107" s="112"/>
      <c r="AG107" s="112"/>
      <c r="AI107" s="113"/>
      <c r="AJ107" s="114"/>
      <c r="AK107" s="113"/>
      <c r="AL107" s="114"/>
      <c r="AM107" s="113"/>
      <c r="AN107" s="114"/>
      <c r="AO107" s="115"/>
      <c r="AP107" s="114"/>
      <c r="AQ107" s="115"/>
      <c r="AR107" s="114"/>
      <c r="AS107" s="115"/>
      <c r="AT107" s="114"/>
      <c r="AU107" s="114"/>
    </row>
    <row r="108">
      <c r="B108" s="105"/>
      <c r="C108" s="106"/>
      <c r="D108" s="107"/>
      <c r="E108" s="108"/>
      <c r="F108" s="109"/>
      <c r="G108" s="109"/>
      <c r="I108" s="110"/>
      <c r="K108" s="110"/>
      <c r="M108" s="110"/>
      <c r="O108" s="110"/>
      <c r="Q108" s="110"/>
      <c r="S108" s="110"/>
      <c r="W108" s="112"/>
      <c r="Y108" s="112"/>
      <c r="AA108" s="112"/>
      <c r="AC108" s="112"/>
      <c r="AE108" s="112"/>
      <c r="AG108" s="112"/>
      <c r="AI108" s="113"/>
      <c r="AJ108" s="114"/>
      <c r="AK108" s="113"/>
      <c r="AL108" s="114"/>
      <c r="AM108" s="113"/>
      <c r="AN108" s="114"/>
      <c r="AO108" s="115"/>
      <c r="AP108" s="114"/>
      <c r="AQ108" s="115"/>
      <c r="AR108" s="114"/>
      <c r="AS108" s="115"/>
      <c r="AT108" s="114"/>
      <c r="AU108" s="114"/>
    </row>
    <row r="109">
      <c r="B109" s="105"/>
      <c r="C109" s="106"/>
      <c r="D109" s="107"/>
      <c r="E109" s="108"/>
      <c r="F109" s="109"/>
      <c r="G109" s="109"/>
      <c r="I109" s="110"/>
      <c r="K109" s="110"/>
      <c r="M109" s="110"/>
      <c r="O109" s="110"/>
      <c r="Q109" s="110"/>
      <c r="S109" s="110"/>
      <c r="W109" s="112"/>
      <c r="Y109" s="112"/>
      <c r="AA109" s="112"/>
      <c r="AC109" s="112"/>
      <c r="AE109" s="112"/>
      <c r="AG109" s="112"/>
      <c r="AI109" s="113"/>
      <c r="AJ109" s="114"/>
      <c r="AK109" s="113"/>
      <c r="AL109" s="114"/>
      <c r="AM109" s="113"/>
      <c r="AN109" s="114"/>
      <c r="AO109" s="115"/>
      <c r="AP109" s="114"/>
      <c r="AQ109" s="115"/>
      <c r="AR109" s="114"/>
      <c r="AS109" s="115"/>
      <c r="AT109" s="114"/>
      <c r="AU109" s="114"/>
    </row>
    <row r="110">
      <c r="B110" s="105"/>
      <c r="C110" s="106"/>
      <c r="D110" s="107"/>
      <c r="E110" s="108"/>
      <c r="F110" s="109"/>
      <c r="G110" s="109"/>
      <c r="I110" s="110"/>
      <c r="K110" s="110"/>
      <c r="M110" s="110"/>
      <c r="O110" s="110"/>
      <c r="Q110" s="110"/>
      <c r="S110" s="110"/>
      <c r="W110" s="112"/>
      <c r="Y110" s="112"/>
      <c r="AA110" s="112"/>
      <c r="AC110" s="112"/>
      <c r="AE110" s="112"/>
      <c r="AG110" s="112"/>
      <c r="AI110" s="113"/>
      <c r="AJ110" s="114"/>
      <c r="AK110" s="113"/>
      <c r="AL110" s="114"/>
      <c r="AM110" s="113"/>
      <c r="AN110" s="114"/>
      <c r="AO110" s="115"/>
      <c r="AP110" s="114"/>
      <c r="AQ110" s="115"/>
      <c r="AR110" s="114"/>
      <c r="AS110" s="115"/>
      <c r="AT110" s="114"/>
      <c r="AU110" s="114"/>
    </row>
    <row r="111">
      <c r="B111" s="105"/>
      <c r="C111" s="106"/>
      <c r="D111" s="107"/>
      <c r="E111" s="108"/>
      <c r="F111" s="109"/>
      <c r="G111" s="109"/>
      <c r="I111" s="110"/>
      <c r="K111" s="110"/>
      <c r="M111" s="110"/>
      <c r="O111" s="110"/>
      <c r="Q111" s="110"/>
      <c r="S111" s="110"/>
      <c r="W111" s="112"/>
      <c r="Y111" s="112"/>
      <c r="AA111" s="112"/>
      <c r="AC111" s="112"/>
      <c r="AE111" s="112"/>
      <c r="AG111" s="112"/>
      <c r="AI111" s="113"/>
      <c r="AJ111" s="114"/>
      <c r="AK111" s="113"/>
      <c r="AL111" s="114"/>
      <c r="AM111" s="113"/>
      <c r="AN111" s="114"/>
      <c r="AO111" s="115"/>
      <c r="AP111" s="114"/>
      <c r="AQ111" s="115"/>
      <c r="AR111" s="114"/>
      <c r="AS111" s="115"/>
      <c r="AT111" s="114"/>
      <c r="AU111" s="114"/>
    </row>
    <row r="112">
      <c r="B112" s="105"/>
      <c r="C112" s="106"/>
      <c r="D112" s="107"/>
      <c r="E112" s="108"/>
      <c r="F112" s="109"/>
      <c r="G112" s="109"/>
      <c r="I112" s="110"/>
      <c r="K112" s="110"/>
      <c r="M112" s="110"/>
      <c r="O112" s="110"/>
      <c r="Q112" s="110"/>
      <c r="S112" s="110"/>
      <c r="W112" s="112"/>
      <c r="Y112" s="112"/>
      <c r="AA112" s="112"/>
      <c r="AC112" s="112"/>
      <c r="AE112" s="112"/>
      <c r="AG112" s="112"/>
      <c r="AI112" s="113"/>
      <c r="AJ112" s="114"/>
      <c r="AK112" s="113"/>
      <c r="AL112" s="114"/>
      <c r="AM112" s="113"/>
      <c r="AN112" s="114"/>
      <c r="AO112" s="115"/>
      <c r="AP112" s="114"/>
      <c r="AQ112" s="115"/>
      <c r="AR112" s="114"/>
      <c r="AS112" s="115"/>
      <c r="AT112" s="114"/>
      <c r="AU112" s="114"/>
    </row>
    <row r="113">
      <c r="B113" s="105"/>
      <c r="C113" s="106"/>
      <c r="D113" s="107"/>
      <c r="E113" s="108"/>
      <c r="F113" s="109"/>
      <c r="G113" s="109"/>
      <c r="I113" s="110"/>
      <c r="K113" s="110"/>
      <c r="M113" s="110"/>
      <c r="O113" s="110"/>
      <c r="Q113" s="110"/>
      <c r="S113" s="110"/>
      <c r="W113" s="112"/>
      <c r="Y113" s="112"/>
      <c r="AA113" s="112"/>
      <c r="AC113" s="112"/>
      <c r="AE113" s="112"/>
      <c r="AG113" s="112"/>
      <c r="AI113" s="113"/>
      <c r="AJ113" s="114"/>
      <c r="AK113" s="113"/>
      <c r="AL113" s="114"/>
      <c r="AM113" s="113"/>
      <c r="AN113" s="114"/>
      <c r="AO113" s="115"/>
      <c r="AP113" s="114"/>
      <c r="AQ113" s="115"/>
      <c r="AR113" s="114"/>
      <c r="AS113" s="115"/>
      <c r="AT113" s="114"/>
      <c r="AU113" s="114"/>
    </row>
    <row r="114">
      <c r="B114" s="105"/>
      <c r="C114" s="106"/>
      <c r="D114" s="107"/>
      <c r="E114" s="108"/>
      <c r="F114" s="109"/>
      <c r="G114" s="109"/>
      <c r="I114" s="110"/>
      <c r="K114" s="110"/>
      <c r="M114" s="110"/>
      <c r="O114" s="110"/>
      <c r="Q114" s="110"/>
      <c r="S114" s="110"/>
      <c r="W114" s="112"/>
      <c r="Y114" s="112"/>
      <c r="AA114" s="112"/>
      <c r="AC114" s="112"/>
      <c r="AE114" s="112"/>
      <c r="AG114" s="112"/>
      <c r="AI114" s="113"/>
      <c r="AJ114" s="114"/>
      <c r="AK114" s="113"/>
      <c r="AL114" s="114"/>
      <c r="AM114" s="113"/>
      <c r="AN114" s="114"/>
      <c r="AO114" s="115"/>
      <c r="AP114" s="114"/>
      <c r="AQ114" s="115"/>
      <c r="AR114" s="114"/>
      <c r="AS114" s="115"/>
      <c r="AT114" s="114"/>
      <c r="AU114" s="114"/>
    </row>
    <row r="115">
      <c r="B115" s="105"/>
      <c r="C115" s="106"/>
      <c r="D115" s="107"/>
      <c r="E115" s="108"/>
      <c r="F115" s="109"/>
      <c r="G115" s="109"/>
      <c r="I115" s="110"/>
      <c r="K115" s="110"/>
      <c r="M115" s="110"/>
      <c r="O115" s="110"/>
      <c r="Q115" s="110"/>
      <c r="S115" s="110"/>
      <c r="W115" s="112"/>
      <c r="Y115" s="112"/>
      <c r="AA115" s="112"/>
      <c r="AC115" s="112"/>
      <c r="AE115" s="112"/>
      <c r="AG115" s="112"/>
      <c r="AI115" s="113"/>
      <c r="AJ115" s="114"/>
      <c r="AK115" s="113"/>
      <c r="AL115" s="114"/>
      <c r="AM115" s="113"/>
      <c r="AN115" s="114"/>
      <c r="AO115" s="115"/>
      <c r="AP115" s="114"/>
      <c r="AQ115" s="115"/>
      <c r="AR115" s="114"/>
      <c r="AS115" s="115"/>
      <c r="AT115" s="114"/>
      <c r="AU115" s="114"/>
    </row>
    <row r="116">
      <c r="B116" s="105"/>
      <c r="C116" s="106"/>
      <c r="D116" s="107"/>
      <c r="E116" s="108"/>
      <c r="F116" s="109"/>
      <c r="G116" s="109"/>
      <c r="I116" s="110"/>
      <c r="K116" s="110"/>
      <c r="M116" s="110"/>
      <c r="O116" s="110"/>
      <c r="Q116" s="110"/>
      <c r="S116" s="110"/>
      <c r="W116" s="112"/>
      <c r="Y116" s="112"/>
      <c r="AA116" s="112"/>
      <c r="AC116" s="112"/>
      <c r="AE116" s="112"/>
      <c r="AG116" s="112"/>
      <c r="AI116" s="113"/>
      <c r="AJ116" s="114"/>
      <c r="AK116" s="113"/>
      <c r="AL116" s="114"/>
      <c r="AM116" s="113"/>
      <c r="AN116" s="114"/>
      <c r="AO116" s="115"/>
      <c r="AP116" s="114"/>
      <c r="AQ116" s="115"/>
      <c r="AR116" s="114"/>
      <c r="AS116" s="115"/>
      <c r="AT116" s="114"/>
      <c r="AU116" s="114"/>
    </row>
    <row r="117">
      <c r="B117" s="105"/>
      <c r="C117" s="106"/>
      <c r="D117" s="107"/>
      <c r="E117" s="108"/>
      <c r="F117" s="109"/>
      <c r="G117" s="109"/>
      <c r="I117" s="110"/>
      <c r="K117" s="110"/>
      <c r="M117" s="110"/>
      <c r="O117" s="110"/>
      <c r="Q117" s="110"/>
      <c r="S117" s="110"/>
      <c r="W117" s="112"/>
      <c r="Y117" s="112"/>
      <c r="AA117" s="112"/>
      <c r="AC117" s="112"/>
      <c r="AE117" s="112"/>
      <c r="AG117" s="112"/>
      <c r="AI117" s="113"/>
      <c r="AJ117" s="114"/>
      <c r="AK117" s="113"/>
      <c r="AL117" s="114"/>
      <c r="AM117" s="113"/>
      <c r="AN117" s="114"/>
      <c r="AO117" s="115"/>
      <c r="AP117" s="114"/>
      <c r="AQ117" s="115"/>
      <c r="AR117" s="114"/>
      <c r="AS117" s="115"/>
      <c r="AT117" s="114"/>
      <c r="AU117" s="114"/>
    </row>
    <row r="118">
      <c r="B118" s="105"/>
      <c r="C118" s="106"/>
      <c r="D118" s="107"/>
      <c r="E118" s="108"/>
      <c r="F118" s="109"/>
      <c r="G118" s="109"/>
      <c r="I118" s="110"/>
      <c r="K118" s="110"/>
      <c r="M118" s="110"/>
      <c r="O118" s="110"/>
      <c r="Q118" s="110"/>
      <c r="S118" s="110"/>
      <c r="W118" s="112"/>
      <c r="Y118" s="112"/>
      <c r="AA118" s="112"/>
      <c r="AC118" s="112"/>
      <c r="AE118" s="112"/>
      <c r="AG118" s="112"/>
      <c r="AI118" s="113"/>
      <c r="AJ118" s="114"/>
      <c r="AK118" s="113"/>
      <c r="AL118" s="114"/>
      <c r="AM118" s="113"/>
      <c r="AN118" s="114"/>
      <c r="AO118" s="115"/>
      <c r="AP118" s="114"/>
      <c r="AQ118" s="115"/>
      <c r="AR118" s="114"/>
      <c r="AS118" s="115"/>
      <c r="AT118" s="114"/>
      <c r="AU118" s="114"/>
    </row>
    <row r="119">
      <c r="B119" s="105"/>
      <c r="C119" s="106"/>
      <c r="D119" s="107"/>
      <c r="E119" s="108"/>
      <c r="F119" s="109"/>
      <c r="G119" s="109"/>
      <c r="I119" s="110"/>
      <c r="K119" s="110"/>
      <c r="M119" s="110"/>
      <c r="O119" s="110"/>
      <c r="Q119" s="110"/>
      <c r="S119" s="110"/>
      <c r="W119" s="112"/>
      <c r="Y119" s="112"/>
      <c r="AA119" s="112"/>
      <c r="AC119" s="112"/>
      <c r="AE119" s="112"/>
      <c r="AG119" s="112"/>
      <c r="AI119" s="113"/>
      <c r="AJ119" s="114"/>
      <c r="AK119" s="113"/>
      <c r="AL119" s="114"/>
      <c r="AM119" s="113"/>
      <c r="AN119" s="114"/>
      <c r="AO119" s="115"/>
      <c r="AP119" s="114"/>
      <c r="AQ119" s="115"/>
      <c r="AR119" s="114"/>
      <c r="AS119" s="115"/>
      <c r="AT119" s="114"/>
      <c r="AU119" s="114"/>
    </row>
    <row r="120">
      <c r="B120" s="105"/>
      <c r="C120" s="106"/>
      <c r="D120" s="107"/>
      <c r="E120" s="108"/>
      <c r="F120" s="109"/>
      <c r="G120" s="109"/>
      <c r="I120" s="110"/>
      <c r="K120" s="110"/>
      <c r="M120" s="110"/>
      <c r="O120" s="110"/>
      <c r="Q120" s="110"/>
      <c r="S120" s="110"/>
      <c r="W120" s="112"/>
      <c r="Y120" s="112"/>
      <c r="AA120" s="112"/>
      <c r="AC120" s="112"/>
      <c r="AE120" s="112"/>
      <c r="AG120" s="112"/>
      <c r="AI120" s="113"/>
      <c r="AJ120" s="114"/>
      <c r="AK120" s="113"/>
      <c r="AL120" s="114"/>
      <c r="AM120" s="113"/>
      <c r="AN120" s="114"/>
      <c r="AO120" s="115"/>
      <c r="AP120" s="114"/>
      <c r="AQ120" s="115"/>
      <c r="AR120" s="114"/>
      <c r="AS120" s="115"/>
      <c r="AT120" s="114"/>
      <c r="AU120" s="114"/>
    </row>
    <row r="121">
      <c r="B121" s="105"/>
      <c r="C121" s="106"/>
      <c r="D121" s="107"/>
      <c r="E121" s="108"/>
      <c r="F121" s="109"/>
      <c r="G121" s="109"/>
      <c r="I121" s="110"/>
      <c r="K121" s="110"/>
      <c r="M121" s="110"/>
      <c r="O121" s="110"/>
      <c r="Q121" s="110"/>
      <c r="S121" s="110"/>
      <c r="W121" s="112"/>
      <c r="Y121" s="112"/>
      <c r="AA121" s="112"/>
      <c r="AC121" s="112"/>
      <c r="AE121" s="112"/>
      <c r="AG121" s="112"/>
      <c r="AI121" s="113"/>
      <c r="AJ121" s="114"/>
      <c r="AK121" s="113"/>
      <c r="AL121" s="114"/>
      <c r="AM121" s="113"/>
      <c r="AN121" s="114"/>
      <c r="AO121" s="115"/>
      <c r="AP121" s="114"/>
      <c r="AQ121" s="115"/>
      <c r="AR121" s="114"/>
      <c r="AS121" s="115"/>
      <c r="AT121" s="114"/>
      <c r="AU121" s="114"/>
    </row>
    <row r="122">
      <c r="B122" s="105"/>
      <c r="C122" s="106"/>
      <c r="D122" s="107"/>
      <c r="E122" s="108"/>
      <c r="F122" s="109"/>
      <c r="G122" s="109"/>
      <c r="I122" s="110"/>
      <c r="K122" s="110"/>
      <c r="M122" s="110"/>
      <c r="O122" s="110"/>
      <c r="Q122" s="110"/>
      <c r="S122" s="110"/>
      <c r="T122" s="111"/>
      <c r="U122" s="111"/>
      <c r="W122" s="112"/>
      <c r="Y122" s="112"/>
      <c r="AA122" s="112"/>
      <c r="AC122" s="112"/>
      <c r="AE122" s="112"/>
      <c r="AG122" s="112"/>
      <c r="AI122" s="113"/>
      <c r="AJ122" s="114"/>
      <c r="AK122" s="113"/>
      <c r="AL122" s="114"/>
      <c r="AM122" s="113"/>
      <c r="AN122" s="114"/>
      <c r="AO122" s="115"/>
      <c r="AP122" s="114"/>
      <c r="AQ122" s="115"/>
      <c r="AR122" s="114"/>
      <c r="AS122" s="115"/>
      <c r="AT122" s="114"/>
      <c r="AU122" s="114"/>
    </row>
    <row r="123">
      <c r="B123" s="105"/>
      <c r="C123" s="106"/>
      <c r="D123" s="107"/>
      <c r="E123" s="108"/>
      <c r="F123" s="109"/>
      <c r="G123" s="109"/>
      <c r="I123" s="110"/>
      <c r="K123" s="110"/>
      <c r="M123" s="110"/>
      <c r="O123" s="110"/>
      <c r="Q123" s="110"/>
      <c r="S123" s="110"/>
      <c r="T123" s="111"/>
      <c r="U123" s="111"/>
      <c r="W123" s="112"/>
      <c r="Y123" s="112"/>
      <c r="AA123" s="112"/>
      <c r="AC123" s="112"/>
      <c r="AE123" s="112"/>
      <c r="AG123" s="112"/>
      <c r="AI123" s="113"/>
      <c r="AJ123" s="114"/>
      <c r="AK123" s="113"/>
      <c r="AL123" s="114"/>
      <c r="AM123" s="113"/>
      <c r="AN123" s="114"/>
      <c r="AO123" s="115"/>
      <c r="AP123" s="114"/>
      <c r="AQ123" s="115"/>
      <c r="AR123" s="114"/>
      <c r="AS123" s="115"/>
      <c r="AT123" s="114"/>
      <c r="AU123" s="114"/>
    </row>
    <row r="124">
      <c r="B124" s="105"/>
      <c r="C124" s="106"/>
      <c r="D124" s="107"/>
      <c r="E124" s="108"/>
      <c r="F124" s="109"/>
      <c r="G124" s="109"/>
      <c r="I124" s="110"/>
      <c r="K124" s="110"/>
      <c r="M124" s="110"/>
      <c r="O124" s="110"/>
      <c r="Q124" s="110"/>
      <c r="S124" s="110"/>
      <c r="T124" s="111"/>
      <c r="U124" s="111"/>
      <c r="W124" s="112"/>
      <c r="Y124" s="112"/>
      <c r="AA124" s="112"/>
      <c r="AC124" s="112"/>
      <c r="AE124" s="112"/>
      <c r="AG124" s="112"/>
      <c r="AI124" s="113"/>
      <c r="AJ124" s="114"/>
      <c r="AK124" s="113"/>
      <c r="AL124" s="114"/>
      <c r="AM124" s="113"/>
      <c r="AN124" s="114"/>
      <c r="AO124" s="115"/>
      <c r="AP124" s="114"/>
      <c r="AQ124" s="115"/>
      <c r="AR124" s="114"/>
      <c r="AS124" s="115"/>
      <c r="AT124" s="114"/>
      <c r="AU124" s="114"/>
    </row>
    <row r="125">
      <c r="B125" s="105"/>
      <c r="C125" s="106"/>
      <c r="D125" s="107"/>
      <c r="E125" s="108"/>
      <c r="F125" s="109"/>
      <c r="G125" s="109"/>
      <c r="I125" s="110"/>
      <c r="K125" s="110"/>
      <c r="M125" s="110"/>
      <c r="O125" s="110"/>
      <c r="Q125" s="110"/>
      <c r="S125" s="110"/>
      <c r="T125" s="111"/>
      <c r="U125" s="111"/>
      <c r="W125" s="112"/>
      <c r="Y125" s="112"/>
      <c r="AA125" s="112"/>
      <c r="AC125" s="112"/>
      <c r="AE125" s="112"/>
      <c r="AG125" s="112"/>
      <c r="AI125" s="113"/>
      <c r="AJ125" s="114"/>
      <c r="AK125" s="113"/>
      <c r="AL125" s="114"/>
      <c r="AM125" s="113"/>
      <c r="AN125" s="114"/>
      <c r="AO125" s="115"/>
      <c r="AP125" s="114"/>
      <c r="AQ125" s="115"/>
      <c r="AR125" s="114"/>
      <c r="AS125" s="115"/>
      <c r="AT125" s="114"/>
      <c r="AU125" s="114"/>
    </row>
    <row r="126">
      <c r="B126" s="105"/>
      <c r="C126" s="106"/>
      <c r="D126" s="107"/>
      <c r="E126" s="108"/>
      <c r="F126" s="109"/>
      <c r="G126" s="109"/>
      <c r="I126" s="110"/>
      <c r="K126" s="110"/>
      <c r="M126" s="110"/>
      <c r="O126" s="110"/>
      <c r="Q126" s="110"/>
      <c r="S126" s="110"/>
      <c r="T126" s="111"/>
      <c r="U126" s="111"/>
      <c r="W126" s="112"/>
      <c r="Y126" s="112"/>
      <c r="AA126" s="112"/>
      <c r="AC126" s="112"/>
      <c r="AE126" s="112"/>
      <c r="AG126" s="112"/>
      <c r="AI126" s="113"/>
      <c r="AJ126" s="114"/>
      <c r="AK126" s="113"/>
      <c r="AL126" s="114"/>
      <c r="AM126" s="113"/>
      <c r="AN126" s="114"/>
      <c r="AO126" s="115"/>
      <c r="AP126" s="114"/>
      <c r="AQ126" s="115"/>
      <c r="AR126" s="114"/>
      <c r="AS126" s="115"/>
      <c r="AT126" s="114"/>
      <c r="AU126" s="114"/>
    </row>
    <row r="127">
      <c r="B127" s="105"/>
      <c r="C127" s="106"/>
      <c r="D127" s="107"/>
      <c r="E127" s="108"/>
      <c r="F127" s="109"/>
      <c r="G127" s="109"/>
      <c r="I127" s="110"/>
      <c r="K127" s="110"/>
      <c r="M127" s="110"/>
      <c r="O127" s="110"/>
      <c r="Q127" s="110"/>
      <c r="S127" s="110"/>
      <c r="T127" s="111"/>
      <c r="U127" s="111"/>
      <c r="W127" s="112"/>
      <c r="Y127" s="112"/>
      <c r="AA127" s="112"/>
      <c r="AC127" s="112"/>
      <c r="AE127" s="112"/>
      <c r="AG127" s="112"/>
      <c r="AI127" s="113"/>
      <c r="AJ127" s="114"/>
      <c r="AK127" s="113"/>
      <c r="AL127" s="114"/>
      <c r="AM127" s="113"/>
      <c r="AN127" s="114"/>
      <c r="AO127" s="115"/>
      <c r="AP127" s="114"/>
      <c r="AQ127" s="115"/>
      <c r="AR127" s="114"/>
      <c r="AS127" s="115"/>
      <c r="AT127" s="114"/>
      <c r="AU127" s="114"/>
    </row>
    <row r="128">
      <c r="B128" s="105"/>
      <c r="C128" s="106"/>
      <c r="D128" s="107"/>
      <c r="E128" s="108"/>
      <c r="F128" s="109"/>
      <c r="G128" s="109"/>
      <c r="I128" s="110"/>
      <c r="K128" s="110"/>
      <c r="M128" s="110"/>
      <c r="O128" s="110"/>
      <c r="Q128" s="110"/>
      <c r="S128" s="110"/>
      <c r="T128" s="111"/>
      <c r="U128" s="111"/>
      <c r="W128" s="112"/>
      <c r="Y128" s="112"/>
      <c r="AA128" s="112"/>
      <c r="AC128" s="112"/>
      <c r="AE128" s="112"/>
      <c r="AG128" s="112"/>
      <c r="AI128" s="113"/>
      <c r="AJ128" s="114"/>
      <c r="AK128" s="113"/>
      <c r="AL128" s="114"/>
      <c r="AM128" s="113"/>
      <c r="AN128" s="114"/>
      <c r="AO128" s="115"/>
      <c r="AP128" s="114"/>
      <c r="AQ128" s="115"/>
      <c r="AR128" s="114"/>
      <c r="AS128" s="115"/>
      <c r="AT128" s="114"/>
      <c r="AU128" s="114"/>
    </row>
    <row r="129">
      <c r="B129" s="105"/>
      <c r="C129" s="106"/>
      <c r="D129" s="107"/>
      <c r="E129" s="108"/>
      <c r="F129" s="109"/>
      <c r="G129" s="109"/>
      <c r="I129" s="110"/>
      <c r="K129" s="110"/>
      <c r="M129" s="110"/>
      <c r="O129" s="110"/>
      <c r="Q129" s="110"/>
      <c r="S129" s="110"/>
      <c r="T129" s="111"/>
      <c r="U129" s="111"/>
      <c r="W129" s="112"/>
      <c r="Y129" s="112"/>
      <c r="AA129" s="112"/>
      <c r="AC129" s="112"/>
      <c r="AE129" s="112"/>
      <c r="AG129" s="112"/>
      <c r="AI129" s="113"/>
      <c r="AJ129" s="114"/>
      <c r="AK129" s="113"/>
      <c r="AL129" s="114"/>
      <c r="AM129" s="113"/>
      <c r="AN129" s="114"/>
      <c r="AO129" s="115"/>
      <c r="AP129" s="114"/>
      <c r="AQ129" s="115"/>
      <c r="AR129" s="114"/>
      <c r="AS129" s="115"/>
      <c r="AT129" s="114"/>
      <c r="AU129" s="114"/>
    </row>
    <row r="130">
      <c r="B130" s="105"/>
      <c r="C130" s="106"/>
      <c r="D130" s="107"/>
      <c r="E130" s="108"/>
      <c r="F130" s="109"/>
      <c r="G130" s="109"/>
      <c r="I130" s="110"/>
      <c r="K130" s="110"/>
      <c r="M130" s="110"/>
      <c r="O130" s="110"/>
      <c r="Q130" s="110"/>
      <c r="S130" s="110"/>
      <c r="T130" s="111"/>
      <c r="U130" s="111"/>
      <c r="W130" s="112"/>
      <c r="Y130" s="112"/>
      <c r="AA130" s="112"/>
      <c r="AC130" s="112"/>
      <c r="AE130" s="112"/>
      <c r="AG130" s="112"/>
      <c r="AI130" s="113"/>
      <c r="AJ130" s="114"/>
      <c r="AK130" s="113"/>
      <c r="AL130" s="114"/>
      <c r="AM130" s="113"/>
      <c r="AN130" s="114"/>
      <c r="AO130" s="115"/>
      <c r="AP130" s="114"/>
      <c r="AQ130" s="115"/>
      <c r="AR130" s="114"/>
      <c r="AS130" s="115"/>
      <c r="AT130" s="114"/>
      <c r="AU130" s="114"/>
    </row>
    <row r="131">
      <c r="B131" s="105"/>
      <c r="C131" s="106"/>
      <c r="D131" s="107"/>
      <c r="E131" s="108"/>
      <c r="F131" s="109"/>
      <c r="G131" s="109"/>
      <c r="I131" s="110"/>
      <c r="K131" s="110"/>
      <c r="M131" s="110"/>
      <c r="O131" s="110"/>
      <c r="Q131" s="110"/>
      <c r="S131" s="110"/>
      <c r="T131" s="111"/>
      <c r="U131" s="111"/>
      <c r="W131" s="112"/>
      <c r="Y131" s="112"/>
      <c r="AA131" s="112"/>
      <c r="AC131" s="112"/>
      <c r="AE131" s="112"/>
      <c r="AG131" s="112"/>
      <c r="AI131" s="113"/>
      <c r="AJ131" s="114"/>
      <c r="AK131" s="113"/>
      <c r="AL131" s="114"/>
      <c r="AM131" s="113"/>
      <c r="AN131" s="114"/>
      <c r="AO131" s="115"/>
      <c r="AP131" s="114"/>
      <c r="AQ131" s="115"/>
      <c r="AR131" s="114"/>
      <c r="AS131" s="115"/>
      <c r="AT131" s="114"/>
      <c r="AU131" s="114"/>
    </row>
    <row r="132">
      <c r="B132" s="105"/>
      <c r="C132" s="106"/>
      <c r="D132" s="107"/>
      <c r="E132" s="108"/>
      <c r="F132" s="109"/>
      <c r="G132" s="109"/>
      <c r="I132" s="110"/>
      <c r="K132" s="110"/>
      <c r="M132" s="110"/>
      <c r="O132" s="110"/>
      <c r="Q132" s="110"/>
      <c r="S132" s="110"/>
      <c r="T132" s="111"/>
      <c r="U132" s="111"/>
      <c r="W132" s="112"/>
      <c r="Y132" s="112"/>
      <c r="AA132" s="112"/>
      <c r="AC132" s="112"/>
      <c r="AE132" s="112"/>
      <c r="AG132" s="112"/>
      <c r="AI132" s="113"/>
      <c r="AJ132" s="114"/>
      <c r="AK132" s="113"/>
      <c r="AL132" s="114"/>
      <c r="AM132" s="113"/>
      <c r="AN132" s="114"/>
      <c r="AO132" s="115"/>
      <c r="AP132" s="114"/>
      <c r="AQ132" s="115"/>
      <c r="AR132" s="114"/>
      <c r="AS132" s="115"/>
      <c r="AT132" s="114"/>
      <c r="AU132" s="114"/>
    </row>
    <row r="133">
      <c r="B133" s="105"/>
      <c r="C133" s="106"/>
      <c r="D133" s="107"/>
      <c r="E133" s="108"/>
      <c r="F133" s="109"/>
      <c r="G133" s="109"/>
      <c r="I133" s="110"/>
      <c r="K133" s="110"/>
      <c r="M133" s="110"/>
      <c r="O133" s="110"/>
      <c r="Q133" s="110"/>
      <c r="S133" s="110"/>
      <c r="T133" s="111"/>
      <c r="U133" s="111"/>
      <c r="W133" s="112"/>
      <c r="Y133" s="112"/>
      <c r="AA133" s="112"/>
      <c r="AC133" s="112"/>
      <c r="AE133" s="112"/>
      <c r="AG133" s="112"/>
      <c r="AI133" s="113"/>
      <c r="AJ133" s="114"/>
      <c r="AK133" s="113"/>
      <c r="AL133" s="114"/>
      <c r="AM133" s="113"/>
      <c r="AN133" s="114"/>
      <c r="AO133" s="115"/>
      <c r="AP133" s="114"/>
      <c r="AQ133" s="115"/>
      <c r="AR133" s="114"/>
      <c r="AS133" s="115"/>
      <c r="AT133" s="114"/>
      <c r="AU133" s="114"/>
    </row>
    <row r="134">
      <c r="B134" s="105"/>
      <c r="C134" s="106"/>
      <c r="D134" s="107"/>
      <c r="E134" s="108"/>
      <c r="F134" s="109"/>
      <c r="G134" s="109"/>
      <c r="I134" s="110"/>
      <c r="K134" s="110"/>
      <c r="M134" s="110"/>
      <c r="O134" s="110"/>
      <c r="Q134" s="110"/>
      <c r="S134" s="110"/>
      <c r="T134" s="111"/>
      <c r="U134" s="111"/>
      <c r="W134" s="112"/>
      <c r="Y134" s="112"/>
      <c r="AA134" s="112"/>
      <c r="AC134" s="112"/>
      <c r="AE134" s="112"/>
      <c r="AG134" s="112"/>
      <c r="AI134" s="113"/>
      <c r="AJ134" s="114"/>
      <c r="AK134" s="113"/>
      <c r="AL134" s="114"/>
      <c r="AM134" s="113"/>
      <c r="AN134" s="114"/>
      <c r="AO134" s="115"/>
      <c r="AP134" s="114"/>
      <c r="AQ134" s="115"/>
      <c r="AR134" s="114"/>
      <c r="AS134" s="115"/>
      <c r="AT134" s="114"/>
      <c r="AU134" s="114"/>
    </row>
    <row r="135">
      <c r="B135" s="105"/>
      <c r="C135" s="106"/>
      <c r="D135" s="107"/>
      <c r="E135" s="108"/>
      <c r="F135" s="109"/>
      <c r="G135" s="109"/>
      <c r="I135" s="110"/>
      <c r="K135" s="110"/>
      <c r="M135" s="110"/>
      <c r="O135" s="110"/>
      <c r="Q135" s="110"/>
      <c r="S135" s="110"/>
      <c r="T135" s="111"/>
      <c r="U135" s="111"/>
      <c r="W135" s="112"/>
      <c r="Y135" s="112"/>
      <c r="AA135" s="112"/>
      <c r="AC135" s="112"/>
      <c r="AE135" s="112"/>
      <c r="AG135" s="112"/>
      <c r="AI135" s="113"/>
      <c r="AJ135" s="114"/>
      <c r="AK135" s="113"/>
      <c r="AL135" s="114"/>
      <c r="AM135" s="113"/>
      <c r="AN135" s="114"/>
      <c r="AO135" s="115"/>
      <c r="AP135" s="114"/>
      <c r="AQ135" s="115"/>
      <c r="AR135" s="114"/>
      <c r="AS135" s="115"/>
      <c r="AT135" s="114"/>
      <c r="AU135" s="114"/>
    </row>
    <row r="136">
      <c r="B136" s="105"/>
      <c r="C136" s="106"/>
      <c r="D136" s="107"/>
      <c r="E136" s="108"/>
      <c r="F136" s="109"/>
      <c r="G136" s="109"/>
      <c r="I136" s="110"/>
      <c r="K136" s="110"/>
      <c r="M136" s="110"/>
      <c r="O136" s="110"/>
      <c r="Q136" s="110"/>
      <c r="S136" s="110"/>
      <c r="T136" s="111"/>
      <c r="U136" s="111"/>
      <c r="W136" s="112"/>
      <c r="Y136" s="112"/>
      <c r="AA136" s="112"/>
      <c r="AC136" s="112"/>
      <c r="AE136" s="112"/>
      <c r="AG136" s="112"/>
      <c r="AI136" s="113"/>
      <c r="AJ136" s="114"/>
      <c r="AK136" s="113"/>
      <c r="AL136" s="114"/>
      <c r="AM136" s="113"/>
      <c r="AN136" s="114"/>
      <c r="AO136" s="115"/>
      <c r="AP136" s="114"/>
      <c r="AQ136" s="115"/>
      <c r="AR136" s="114"/>
      <c r="AS136" s="115"/>
      <c r="AT136" s="114"/>
      <c r="AU136" s="114"/>
    </row>
    <row r="137">
      <c r="B137" s="105"/>
      <c r="C137" s="106"/>
      <c r="D137" s="107"/>
      <c r="E137" s="108"/>
      <c r="F137" s="109"/>
      <c r="G137" s="109"/>
      <c r="I137" s="110"/>
      <c r="K137" s="110"/>
      <c r="M137" s="110"/>
      <c r="O137" s="110"/>
      <c r="Q137" s="110"/>
      <c r="S137" s="110"/>
      <c r="T137" s="111"/>
      <c r="U137" s="111"/>
      <c r="W137" s="112"/>
      <c r="Y137" s="112"/>
      <c r="AA137" s="112"/>
      <c r="AC137" s="112"/>
      <c r="AE137" s="112"/>
      <c r="AG137" s="112"/>
      <c r="AI137" s="113"/>
      <c r="AJ137" s="114"/>
      <c r="AK137" s="113"/>
      <c r="AL137" s="114"/>
      <c r="AM137" s="113"/>
      <c r="AN137" s="114"/>
      <c r="AO137" s="115"/>
      <c r="AP137" s="114"/>
      <c r="AQ137" s="115"/>
      <c r="AR137" s="114"/>
      <c r="AS137" s="115"/>
      <c r="AT137" s="114"/>
      <c r="AU137" s="114"/>
    </row>
    <row r="138">
      <c r="B138" s="105"/>
      <c r="C138" s="106"/>
      <c r="D138" s="107"/>
      <c r="E138" s="108"/>
      <c r="F138" s="109"/>
      <c r="G138" s="109"/>
      <c r="I138" s="110"/>
      <c r="K138" s="110"/>
      <c r="M138" s="110"/>
      <c r="O138" s="110"/>
      <c r="Q138" s="110"/>
      <c r="S138" s="110"/>
      <c r="T138" s="111"/>
      <c r="U138" s="111"/>
      <c r="W138" s="112"/>
      <c r="Y138" s="112"/>
      <c r="AA138" s="112"/>
      <c r="AC138" s="112"/>
      <c r="AE138" s="112"/>
      <c r="AG138" s="112"/>
      <c r="AI138" s="113"/>
      <c r="AJ138" s="114"/>
      <c r="AK138" s="113"/>
      <c r="AL138" s="114"/>
      <c r="AM138" s="113"/>
      <c r="AN138" s="114"/>
      <c r="AO138" s="115"/>
      <c r="AP138" s="114"/>
      <c r="AQ138" s="115"/>
      <c r="AR138" s="114"/>
      <c r="AS138" s="115"/>
      <c r="AT138" s="114"/>
      <c r="AU138" s="114"/>
    </row>
    <row r="139">
      <c r="B139" s="105"/>
      <c r="C139" s="106"/>
      <c r="D139" s="107"/>
      <c r="E139" s="108"/>
      <c r="F139" s="109"/>
      <c r="G139" s="109"/>
      <c r="I139" s="110"/>
      <c r="K139" s="110"/>
      <c r="M139" s="110"/>
      <c r="O139" s="110"/>
      <c r="Q139" s="110"/>
      <c r="S139" s="110"/>
      <c r="T139" s="111"/>
      <c r="U139" s="111"/>
      <c r="W139" s="112"/>
      <c r="Y139" s="112"/>
      <c r="AA139" s="112"/>
      <c r="AC139" s="112"/>
      <c r="AE139" s="112"/>
      <c r="AG139" s="112"/>
      <c r="AI139" s="113"/>
      <c r="AJ139" s="114"/>
      <c r="AK139" s="113"/>
      <c r="AL139" s="114"/>
      <c r="AM139" s="113"/>
      <c r="AN139" s="114"/>
      <c r="AO139" s="115"/>
      <c r="AP139" s="114"/>
      <c r="AQ139" s="115"/>
      <c r="AR139" s="114"/>
      <c r="AS139" s="115"/>
      <c r="AT139" s="114"/>
      <c r="AU139" s="114"/>
    </row>
    <row r="140">
      <c r="B140" s="105"/>
      <c r="C140" s="106"/>
      <c r="D140" s="107"/>
      <c r="E140" s="108"/>
      <c r="F140" s="109"/>
      <c r="G140" s="109"/>
      <c r="I140" s="110"/>
      <c r="K140" s="110"/>
      <c r="M140" s="110"/>
      <c r="O140" s="110"/>
      <c r="Q140" s="110"/>
      <c r="S140" s="110"/>
      <c r="T140" s="111"/>
      <c r="U140" s="111"/>
      <c r="W140" s="112"/>
      <c r="Y140" s="112"/>
      <c r="AA140" s="112"/>
      <c r="AC140" s="112"/>
      <c r="AE140" s="112"/>
      <c r="AG140" s="112"/>
      <c r="AI140" s="113"/>
      <c r="AJ140" s="114"/>
      <c r="AK140" s="113"/>
      <c r="AL140" s="114"/>
      <c r="AM140" s="113"/>
      <c r="AN140" s="114"/>
      <c r="AO140" s="115"/>
      <c r="AP140" s="114"/>
      <c r="AQ140" s="115"/>
      <c r="AR140" s="114"/>
      <c r="AS140" s="115"/>
      <c r="AT140" s="114"/>
      <c r="AU140" s="114"/>
    </row>
    <row r="141">
      <c r="B141" s="105"/>
      <c r="C141" s="106"/>
      <c r="D141" s="107"/>
      <c r="E141" s="108"/>
      <c r="F141" s="109"/>
      <c r="G141" s="109"/>
      <c r="I141" s="110"/>
      <c r="K141" s="110"/>
      <c r="M141" s="110"/>
      <c r="O141" s="110"/>
      <c r="Q141" s="110"/>
      <c r="S141" s="110"/>
      <c r="T141" s="111"/>
      <c r="U141" s="111"/>
      <c r="W141" s="112"/>
      <c r="Y141" s="112"/>
      <c r="AA141" s="112"/>
      <c r="AC141" s="112"/>
      <c r="AE141" s="112"/>
      <c r="AG141" s="112"/>
      <c r="AI141" s="113"/>
      <c r="AJ141" s="114"/>
      <c r="AK141" s="113"/>
      <c r="AL141" s="114"/>
      <c r="AM141" s="113"/>
      <c r="AN141" s="114"/>
      <c r="AO141" s="115"/>
      <c r="AP141" s="114"/>
      <c r="AQ141" s="115"/>
      <c r="AR141" s="114"/>
      <c r="AS141" s="115"/>
      <c r="AT141" s="114"/>
      <c r="AU141" s="114"/>
    </row>
    <row r="142">
      <c r="B142" s="105"/>
      <c r="C142" s="106"/>
      <c r="D142" s="107"/>
      <c r="E142" s="108"/>
      <c r="F142" s="109"/>
      <c r="G142" s="109"/>
      <c r="I142" s="110"/>
      <c r="K142" s="110"/>
      <c r="M142" s="110"/>
      <c r="O142" s="110"/>
      <c r="Q142" s="110"/>
      <c r="S142" s="110"/>
      <c r="T142" s="111"/>
      <c r="U142" s="111"/>
      <c r="W142" s="112"/>
      <c r="Y142" s="112"/>
      <c r="AA142" s="112"/>
      <c r="AC142" s="112"/>
      <c r="AE142" s="112"/>
      <c r="AG142" s="112"/>
      <c r="AI142" s="113"/>
      <c r="AJ142" s="114"/>
      <c r="AK142" s="113"/>
      <c r="AL142" s="114"/>
      <c r="AM142" s="113"/>
      <c r="AN142" s="114"/>
      <c r="AO142" s="115"/>
      <c r="AP142" s="114"/>
      <c r="AQ142" s="115"/>
      <c r="AR142" s="114"/>
      <c r="AS142" s="115"/>
      <c r="AT142" s="114"/>
      <c r="AU142" s="114"/>
    </row>
    <row r="143">
      <c r="B143" s="105"/>
      <c r="C143" s="106"/>
      <c r="D143" s="107"/>
      <c r="E143" s="108"/>
      <c r="F143" s="109"/>
      <c r="G143" s="109"/>
      <c r="I143" s="110"/>
      <c r="K143" s="110"/>
      <c r="M143" s="110"/>
      <c r="O143" s="110"/>
      <c r="Q143" s="110"/>
      <c r="S143" s="110"/>
      <c r="T143" s="111"/>
      <c r="U143" s="111"/>
      <c r="W143" s="112"/>
      <c r="Y143" s="112"/>
      <c r="AA143" s="112"/>
      <c r="AC143" s="112"/>
      <c r="AE143" s="112"/>
      <c r="AG143" s="112"/>
      <c r="AI143" s="113"/>
      <c r="AJ143" s="114"/>
      <c r="AK143" s="113"/>
      <c r="AL143" s="114"/>
      <c r="AM143" s="113"/>
      <c r="AN143" s="114"/>
      <c r="AO143" s="115"/>
      <c r="AP143" s="114"/>
      <c r="AQ143" s="115"/>
      <c r="AR143" s="114"/>
      <c r="AS143" s="115"/>
      <c r="AT143" s="114"/>
      <c r="AU143" s="114"/>
    </row>
    <row r="144">
      <c r="B144" s="105"/>
      <c r="C144" s="106"/>
      <c r="D144" s="107"/>
      <c r="E144" s="108"/>
      <c r="F144" s="109"/>
      <c r="G144" s="109"/>
      <c r="I144" s="110"/>
      <c r="K144" s="110"/>
      <c r="M144" s="110"/>
      <c r="O144" s="110"/>
      <c r="Q144" s="110"/>
      <c r="S144" s="110"/>
      <c r="T144" s="111"/>
      <c r="U144" s="111"/>
      <c r="W144" s="112"/>
      <c r="Y144" s="112"/>
      <c r="AA144" s="112"/>
      <c r="AC144" s="112"/>
      <c r="AE144" s="112"/>
      <c r="AG144" s="112"/>
      <c r="AI144" s="113"/>
      <c r="AJ144" s="114"/>
      <c r="AK144" s="113"/>
      <c r="AL144" s="114"/>
      <c r="AM144" s="113"/>
      <c r="AN144" s="114"/>
      <c r="AO144" s="115"/>
      <c r="AP144" s="114"/>
      <c r="AQ144" s="115"/>
      <c r="AR144" s="114"/>
      <c r="AS144" s="115"/>
      <c r="AT144" s="114"/>
      <c r="AU144" s="114"/>
    </row>
    <row r="145">
      <c r="B145" s="105"/>
      <c r="C145" s="106"/>
      <c r="D145" s="107"/>
      <c r="E145" s="108"/>
      <c r="F145" s="109"/>
      <c r="G145" s="109"/>
      <c r="I145" s="110"/>
      <c r="K145" s="110"/>
      <c r="M145" s="110"/>
      <c r="O145" s="110"/>
      <c r="Q145" s="110"/>
      <c r="S145" s="110"/>
      <c r="T145" s="111"/>
      <c r="U145" s="111"/>
      <c r="W145" s="112"/>
      <c r="Y145" s="112"/>
      <c r="AA145" s="112"/>
      <c r="AC145" s="112"/>
      <c r="AE145" s="112"/>
      <c r="AG145" s="112"/>
      <c r="AI145" s="113"/>
      <c r="AJ145" s="114"/>
      <c r="AK145" s="113"/>
      <c r="AL145" s="114"/>
      <c r="AM145" s="113"/>
      <c r="AN145" s="114"/>
      <c r="AO145" s="115"/>
      <c r="AP145" s="114"/>
      <c r="AQ145" s="115"/>
      <c r="AR145" s="114"/>
      <c r="AS145" s="115"/>
      <c r="AT145" s="114"/>
      <c r="AU145" s="114"/>
    </row>
    <row r="146">
      <c r="B146" s="105"/>
      <c r="C146" s="106"/>
      <c r="D146" s="107"/>
      <c r="E146" s="108"/>
      <c r="F146" s="109"/>
      <c r="G146" s="109"/>
      <c r="I146" s="110"/>
      <c r="K146" s="110"/>
      <c r="M146" s="110"/>
      <c r="O146" s="110"/>
      <c r="Q146" s="110"/>
      <c r="S146" s="110"/>
      <c r="T146" s="111"/>
      <c r="U146" s="111"/>
      <c r="W146" s="112"/>
      <c r="Y146" s="112"/>
      <c r="AA146" s="112"/>
      <c r="AC146" s="112"/>
      <c r="AE146" s="112"/>
      <c r="AG146" s="112"/>
      <c r="AI146" s="113"/>
      <c r="AJ146" s="114"/>
      <c r="AK146" s="113"/>
      <c r="AL146" s="114"/>
      <c r="AM146" s="113"/>
      <c r="AN146" s="114"/>
      <c r="AO146" s="115"/>
      <c r="AP146" s="114"/>
      <c r="AQ146" s="115"/>
      <c r="AR146" s="114"/>
      <c r="AS146" s="115"/>
      <c r="AT146" s="114"/>
      <c r="AU146" s="114"/>
    </row>
    <row r="147">
      <c r="B147" s="105"/>
      <c r="C147" s="106"/>
      <c r="D147" s="107"/>
      <c r="E147" s="108"/>
      <c r="F147" s="109"/>
      <c r="G147" s="109"/>
      <c r="I147" s="110"/>
      <c r="K147" s="110"/>
      <c r="M147" s="110"/>
      <c r="O147" s="110"/>
      <c r="Q147" s="110"/>
      <c r="S147" s="110"/>
      <c r="T147" s="111"/>
      <c r="U147" s="111"/>
      <c r="W147" s="112"/>
      <c r="Y147" s="112"/>
      <c r="AA147" s="112"/>
      <c r="AC147" s="112"/>
      <c r="AE147" s="112"/>
      <c r="AG147" s="112"/>
      <c r="AI147" s="113"/>
      <c r="AJ147" s="114"/>
      <c r="AK147" s="113"/>
      <c r="AL147" s="114"/>
      <c r="AM147" s="113"/>
      <c r="AN147" s="114"/>
      <c r="AO147" s="115"/>
      <c r="AP147" s="114"/>
      <c r="AQ147" s="115"/>
      <c r="AR147" s="114"/>
      <c r="AS147" s="115"/>
      <c r="AT147" s="114"/>
      <c r="AU147" s="114"/>
    </row>
    <row r="148">
      <c r="B148" s="105"/>
      <c r="C148" s="106"/>
      <c r="D148" s="107"/>
      <c r="E148" s="108"/>
      <c r="F148" s="109"/>
      <c r="G148" s="109"/>
      <c r="I148" s="110"/>
      <c r="K148" s="110"/>
      <c r="M148" s="110"/>
      <c r="O148" s="110"/>
      <c r="Q148" s="110"/>
      <c r="S148" s="110"/>
      <c r="T148" s="111"/>
      <c r="U148" s="111"/>
      <c r="W148" s="112"/>
      <c r="Y148" s="112"/>
      <c r="AA148" s="112"/>
      <c r="AC148" s="112"/>
      <c r="AE148" s="112"/>
      <c r="AG148" s="112"/>
      <c r="AI148" s="113"/>
      <c r="AJ148" s="114"/>
      <c r="AK148" s="113"/>
      <c r="AL148" s="114"/>
      <c r="AM148" s="113"/>
      <c r="AN148" s="114"/>
      <c r="AO148" s="115"/>
      <c r="AP148" s="114"/>
      <c r="AQ148" s="115"/>
      <c r="AR148" s="114"/>
      <c r="AS148" s="115"/>
      <c r="AT148" s="114"/>
      <c r="AU148" s="114"/>
    </row>
    <row r="149">
      <c r="B149" s="105"/>
      <c r="C149" s="106"/>
      <c r="D149" s="107"/>
      <c r="E149" s="108"/>
      <c r="F149" s="109"/>
      <c r="G149" s="109"/>
      <c r="I149" s="110"/>
      <c r="K149" s="110"/>
      <c r="M149" s="110"/>
      <c r="O149" s="110"/>
      <c r="Q149" s="110"/>
      <c r="S149" s="110"/>
      <c r="T149" s="111"/>
      <c r="U149" s="111"/>
      <c r="W149" s="112"/>
      <c r="Y149" s="112"/>
      <c r="AA149" s="112"/>
      <c r="AC149" s="112"/>
      <c r="AE149" s="112"/>
      <c r="AG149" s="112"/>
      <c r="AI149" s="113"/>
      <c r="AJ149" s="114"/>
      <c r="AK149" s="113"/>
      <c r="AL149" s="114"/>
      <c r="AM149" s="113"/>
      <c r="AN149" s="114"/>
      <c r="AO149" s="115"/>
      <c r="AP149" s="114"/>
      <c r="AQ149" s="115"/>
      <c r="AR149" s="114"/>
      <c r="AS149" s="115"/>
      <c r="AT149" s="114"/>
      <c r="AU149" s="114"/>
    </row>
    <row r="150">
      <c r="B150" s="105"/>
      <c r="C150" s="106"/>
      <c r="D150" s="107"/>
      <c r="E150" s="108"/>
      <c r="F150" s="109"/>
      <c r="G150" s="109"/>
      <c r="I150" s="110"/>
      <c r="K150" s="110"/>
      <c r="M150" s="110"/>
      <c r="O150" s="110"/>
      <c r="Q150" s="110"/>
      <c r="S150" s="110"/>
      <c r="T150" s="111"/>
      <c r="U150" s="111"/>
      <c r="W150" s="112"/>
      <c r="Y150" s="112"/>
      <c r="AA150" s="112"/>
      <c r="AC150" s="112"/>
      <c r="AE150" s="112"/>
      <c r="AG150" s="112"/>
      <c r="AI150" s="113"/>
      <c r="AJ150" s="114"/>
      <c r="AK150" s="113"/>
      <c r="AL150" s="114"/>
      <c r="AM150" s="113"/>
      <c r="AN150" s="114"/>
      <c r="AO150" s="115"/>
      <c r="AP150" s="114"/>
      <c r="AQ150" s="115"/>
      <c r="AR150" s="114"/>
      <c r="AS150" s="115"/>
      <c r="AT150" s="114"/>
      <c r="AU150" s="114"/>
    </row>
    <row r="151">
      <c r="B151" s="105"/>
      <c r="C151" s="106"/>
      <c r="D151" s="107"/>
      <c r="E151" s="108"/>
      <c r="F151" s="109"/>
      <c r="G151" s="109"/>
      <c r="I151" s="110"/>
      <c r="K151" s="110"/>
      <c r="M151" s="110"/>
      <c r="O151" s="110"/>
      <c r="Q151" s="110"/>
      <c r="S151" s="110"/>
      <c r="T151" s="111"/>
      <c r="U151" s="111"/>
      <c r="W151" s="112"/>
      <c r="Y151" s="112"/>
      <c r="AA151" s="112"/>
      <c r="AC151" s="112"/>
      <c r="AE151" s="112"/>
      <c r="AG151" s="112"/>
      <c r="AI151" s="113"/>
      <c r="AJ151" s="114"/>
      <c r="AK151" s="113"/>
      <c r="AL151" s="114"/>
      <c r="AM151" s="113"/>
      <c r="AN151" s="114"/>
      <c r="AO151" s="115"/>
      <c r="AP151" s="114"/>
      <c r="AQ151" s="115"/>
      <c r="AR151" s="114"/>
      <c r="AS151" s="115"/>
      <c r="AT151" s="114"/>
      <c r="AU151" s="114"/>
    </row>
    <row r="152">
      <c r="B152" s="105"/>
      <c r="C152" s="106"/>
      <c r="D152" s="107"/>
      <c r="E152" s="108"/>
      <c r="F152" s="109"/>
      <c r="G152" s="109"/>
      <c r="I152" s="110"/>
      <c r="K152" s="110"/>
      <c r="M152" s="110"/>
      <c r="O152" s="110"/>
      <c r="Q152" s="110"/>
      <c r="S152" s="110"/>
      <c r="T152" s="111"/>
      <c r="U152" s="111"/>
      <c r="W152" s="112"/>
      <c r="Y152" s="112"/>
      <c r="AA152" s="112"/>
      <c r="AC152" s="112"/>
      <c r="AE152" s="112"/>
      <c r="AG152" s="112"/>
      <c r="AI152" s="113"/>
      <c r="AJ152" s="114"/>
      <c r="AK152" s="113"/>
      <c r="AL152" s="114"/>
      <c r="AM152" s="113"/>
      <c r="AN152" s="114"/>
      <c r="AO152" s="115"/>
      <c r="AP152" s="114"/>
      <c r="AQ152" s="115"/>
      <c r="AR152" s="114"/>
      <c r="AS152" s="115"/>
      <c r="AT152" s="114"/>
      <c r="AU152" s="114"/>
    </row>
    <row r="153">
      <c r="B153" s="105"/>
      <c r="C153" s="106"/>
      <c r="D153" s="107"/>
      <c r="E153" s="108"/>
      <c r="F153" s="109"/>
      <c r="G153" s="109"/>
      <c r="I153" s="110"/>
      <c r="K153" s="110"/>
      <c r="M153" s="110"/>
      <c r="O153" s="110"/>
      <c r="Q153" s="110"/>
      <c r="S153" s="110"/>
      <c r="T153" s="111"/>
      <c r="U153" s="111"/>
      <c r="W153" s="112"/>
      <c r="Y153" s="112"/>
      <c r="AA153" s="112"/>
      <c r="AC153" s="112"/>
      <c r="AE153" s="112"/>
      <c r="AG153" s="112"/>
      <c r="AI153" s="113"/>
      <c r="AJ153" s="114"/>
      <c r="AK153" s="113"/>
      <c r="AL153" s="114"/>
      <c r="AM153" s="113"/>
      <c r="AN153" s="114"/>
      <c r="AO153" s="115"/>
      <c r="AP153" s="114"/>
      <c r="AQ153" s="115"/>
      <c r="AR153" s="114"/>
      <c r="AS153" s="115"/>
      <c r="AT153" s="114"/>
      <c r="AU153" s="114"/>
    </row>
    <row r="154">
      <c r="B154" s="105"/>
      <c r="C154" s="106"/>
      <c r="D154" s="107"/>
      <c r="E154" s="108"/>
      <c r="F154" s="109"/>
      <c r="G154" s="109"/>
      <c r="I154" s="110"/>
      <c r="K154" s="110"/>
      <c r="M154" s="110"/>
      <c r="O154" s="110"/>
      <c r="Q154" s="110"/>
      <c r="S154" s="110"/>
      <c r="T154" s="111"/>
      <c r="U154" s="111"/>
      <c r="W154" s="112"/>
      <c r="Y154" s="112"/>
      <c r="AA154" s="112"/>
      <c r="AC154" s="112"/>
      <c r="AE154" s="112"/>
      <c r="AG154" s="112"/>
      <c r="AI154" s="113"/>
      <c r="AJ154" s="114"/>
      <c r="AK154" s="113"/>
      <c r="AL154" s="114"/>
      <c r="AM154" s="113"/>
      <c r="AN154" s="114"/>
      <c r="AO154" s="115"/>
      <c r="AP154" s="114"/>
      <c r="AQ154" s="115"/>
      <c r="AR154" s="114"/>
      <c r="AS154" s="115"/>
      <c r="AT154" s="114"/>
      <c r="AU154" s="114"/>
    </row>
    <row r="155">
      <c r="B155" s="105"/>
      <c r="C155" s="106"/>
      <c r="D155" s="107"/>
      <c r="E155" s="108"/>
      <c r="F155" s="109"/>
      <c r="G155" s="109"/>
      <c r="I155" s="110"/>
      <c r="K155" s="110"/>
      <c r="M155" s="110"/>
      <c r="O155" s="110"/>
      <c r="Q155" s="110"/>
      <c r="S155" s="110"/>
      <c r="T155" s="111"/>
      <c r="U155" s="111"/>
      <c r="W155" s="112"/>
      <c r="Y155" s="112"/>
      <c r="AA155" s="112"/>
      <c r="AC155" s="112"/>
      <c r="AE155" s="112"/>
      <c r="AG155" s="112"/>
      <c r="AI155" s="113"/>
      <c r="AJ155" s="114"/>
      <c r="AK155" s="113"/>
      <c r="AL155" s="114"/>
      <c r="AM155" s="113"/>
      <c r="AN155" s="114"/>
      <c r="AO155" s="115"/>
      <c r="AP155" s="114"/>
      <c r="AQ155" s="115"/>
      <c r="AR155" s="114"/>
      <c r="AS155" s="115"/>
      <c r="AT155" s="114"/>
      <c r="AU155" s="114"/>
    </row>
    <row r="156">
      <c r="B156" s="105"/>
      <c r="C156" s="106"/>
      <c r="D156" s="107"/>
      <c r="E156" s="108"/>
      <c r="F156" s="109"/>
      <c r="G156" s="109"/>
      <c r="I156" s="110"/>
      <c r="K156" s="110"/>
      <c r="M156" s="110"/>
      <c r="O156" s="110"/>
      <c r="Q156" s="110"/>
      <c r="S156" s="110"/>
      <c r="T156" s="111"/>
      <c r="U156" s="111"/>
      <c r="W156" s="112"/>
      <c r="Y156" s="112"/>
      <c r="AA156" s="112"/>
      <c r="AC156" s="112"/>
      <c r="AE156" s="112"/>
      <c r="AG156" s="112"/>
      <c r="AI156" s="113"/>
      <c r="AJ156" s="114"/>
      <c r="AK156" s="113"/>
      <c r="AL156" s="114"/>
      <c r="AM156" s="113"/>
      <c r="AN156" s="114"/>
      <c r="AO156" s="115"/>
      <c r="AP156" s="114"/>
      <c r="AQ156" s="115"/>
      <c r="AR156" s="114"/>
      <c r="AS156" s="115"/>
      <c r="AT156" s="114"/>
      <c r="AU156" s="114"/>
    </row>
    <row r="157">
      <c r="B157" s="105"/>
      <c r="C157" s="106"/>
      <c r="D157" s="107"/>
      <c r="E157" s="108"/>
      <c r="F157" s="109"/>
      <c r="G157" s="109"/>
      <c r="I157" s="110"/>
      <c r="K157" s="110"/>
      <c r="M157" s="110"/>
      <c r="O157" s="110"/>
      <c r="Q157" s="110"/>
      <c r="S157" s="110"/>
      <c r="T157" s="111"/>
      <c r="U157" s="111"/>
      <c r="W157" s="112"/>
      <c r="Y157" s="112"/>
      <c r="AA157" s="112"/>
      <c r="AC157" s="112"/>
      <c r="AE157" s="112"/>
      <c r="AG157" s="112"/>
      <c r="AI157" s="113"/>
      <c r="AJ157" s="114"/>
      <c r="AK157" s="113"/>
      <c r="AL157" s="114"/>
      <c r="AM157" s="113"/>
      <c r="AN157" s="114"/>
      <c r="AO157" s="115"/>
      <c r="AP157" s="114"/>
      <c r="AQ157" s="115"/>
      <c r="AR157" s="114"/>
      <c r="AS157" s="115"/>
      <c r="AT157" s="114"/>
      <c r="AU157" s="114"/>
    </row>
    <row r="158">
      <c r="B158" s="105"/>
      <c r="C158" s="106"/>
      <c r="D158" s="107"/>
      <c r="E158" s="108"/>
      <c r="F158" s="109"/>
      <c r="G158" s="109"/>
      <c r="I158" s="110"/>
      <c r="K158" s="110"/>
      <c r="M158" s="110"/>
      <c r="O158" s="110"/>
      <c r="Q158" s="110"/>
      <c r="S158" s="110"/>
      <c r="T158" s="111"/>
      <c r="U158" s="111"/>
      <c r="W158" s="112"/>
      <c r="Y158" s="112"/>
      <c r="AA158" s="112"/>
      <c r="AC158" s="112"/>
      <c r="AE158" s="112"/>
      <c r="AG158" s="112"/>
      <c r="AI158" s="113"/>
      <c r="AJ158" s="114"/>
      <c r="AK158" s="113"/>
      <c r="AL158" s="114"/>
      <c r="AM158" s="113"/>
      <c r="AN158" s="114"/>
      <c r="AO158" s="115"/>
      <c r="AP158" s="114"/>
      <c r="AQ158" s="115"/>
      <c r="AR158" s="114"/>
      <c r="AS158" s="115"/>
      <c r="AT158" s="114"/>
      <c r="AU158" s="114"/>
    </row>
    <row r="159">
      <c r="B159" s="105"/>
      <c r="C159" s="106"/>
      <c r="D159" s="107"/>
      <c r="E159" s="108"/>
      <c r="F159" s="109"/>
      <c r="G159" s="109"/>
      <c r="I159" s="110"/>
      <c r="K159" s="110"/>
      <c r="M159" s="110"/>
      <c r="O159" s="110"/>
      <c r="Q159" s="110"/>
      <c r="S159" s="110"/>
      <c r="T159" s="111"/>
      <c r="U159" s="111"/>
      <c r="W159" s="112"/>
      <c r="Y159" s="112"/>
      <c r="AA159" s="112"/>
      <c r="AC159" s="112"/>
      <c r="AE159" s="112"/>
      <c r="AG159" s="112"/>
      <c r="AI159" s="113"/>
      <c r="AJ159" s="114"/>
      <c r="AK159" s="113"/>
      <c r="AL159" s="114"/>
      <c r="AM159" s="113"/>
      <c r="AN159" s="114"/>
      <c r="AO159" s="115"/>
      <c r="AP159" s="114"/>
      <c r="AQ159" s="115"/>
      <c r="AR159" s="114"/>
      <c r="AS159" s="115"/>
      <c r="AT159" s="114"/>
      <c r="AU159" s="114"/>
    </row>
    <row r="160">
      <c r="B160" s="105"/>
      <c r="C160" s="106"/>
      <c r="D160" s="107"/>
      <c r="E160" s="108"/>
      <c r="F160" s="109"/>
      <c r="G160" s="109"/>
      <c r="I160" s="110"/>
      <c r="K160" s="110"/>
      <c r="M160" s="110"/>
      <c r="O160" s="110"/>
      <c r="Q160" s="110"/>
      <c r="S160" s="110"/>
      <c r="T160" s="111"/>
      <c r="U160" s="111"/>
      <c r="W160" s="112"/>
      <c r="Y160" s="112"/>
      <c r="AA160" s="112"/>
      <c r="AC160" s="112"/>
      <c r="AE160" s="112"/>
      <c r="AG160" s="112"/>
      <c r="AI160" s="113"/>
      <c r="AJ160" s="114"/>
      <c r="AK160" s="113"/>
      <c r="AL160" s="114"/>
      <c r="AM160" s="113"/>
      <c r="AN160" s="114"/>
      <c r="AO160" s="115"/>
      <c r="AP160" s="114"/>
      <c r="AQ160" s="115"/>
      <c r="AR160" s="114"/>
      <c r="AS160" s="115"/>
      <c r="AT160" s="114"/>
      <c r="AU160" s="114"/>
    </row>
    <row r="161">
      <c r="B161" s="105"/>
      <c r="C161" s="106"/>
      <c r="D161" s="107"/>
      <c r="E161" s="108"/>
      <c r="F161" s="109"/>
      <c r="G161" s="109"/>
      <c r="I161" s="110"/>
      <c r="K161" s="110"/>
      <c r="M161" s="110"/>
      <c r="O161" s="110"/>
      <c r="Q161" s="110"/>
      <c r="S161" s="110"/>
      <c r="T161" s="111"/>
      <c r="U161" s="111"/>
      <c r="W161" s="112"/>
      <c r="Y161" s="112"/>
      <c r="AA161" s="112"/>
      <c r="AC161" s="112"/>
      <c r="AE161" s="112"/>
      <c r="AG161" s="112"/>
      <c r="AI161" s="113"/>
      <c r="AJ161" s="114"/>
      <c r="AK161" s="113"/>
      <c r="AL161" s="114"/>
      <c r="AM161" s="113"/>
      <c r="AN161" s="114"/>
      <c r="AO161" s="115"/>
      <c r="AP161" s="114"/>
      <c r="AQ161" s="115"/>
      <c r="AR161" s="114"/>
      <c r="AS161" s="115"/>
      <c r="AT161" s="114"/>
      <c r="AU161" s="114"/>
    </row>
    <row r="162">
      <c r="B162" s="105"/>
      <c r="C162" s="106"/>
      <c r="D162" s="107"/>
      <c r="E162" s="108"/>
      <c r="F162" s="109"/>
      <c r="G162" s="109"/>
      <c r="I162" s="110"/>
      <c r="K162" s="110"/>
      <c r="M162" s="110"/>
      <c r="O162" s="110"/>
      <c r="Q162" s="110"/>
      <c r="S162" s="110"/>
      <c r="T162" s="111"/>
      <c r="U162" s="111"/>
      <c r="W162" s="112"/>
      <c r="Y162" s="112"/>
      <c r="AA162" s="112"/>
      <c r="AC162" s="112"/>
      <c r="AE162" s="112"/>
      <c r="AG162" s="112"/>
      <c r="AI162" s="113"/>
      <c r="AJ162" s="114"/>
      <c r="AK162" s="113"/>
      <c r="AL162" s="114"/>
      <c r="AM162" s="113"/>
      <c r="AN162" s="114"/>
      <c r="AO162" s="115"/>
      <c r="AP162" s="114"/>
      <c r="AQ162" s="115"/>
      <c r="AR162" s="114"/>
      <c r="AS162" s="115"/>
      <c r="AT162" s="114"/>
      <c r="AU162" s="114"/>
    </row>
    <row r="163">
      <c r="B163" s="105"/>
      <c r="C163" s="106"/>
      <c r="D163" s="107"/>
      <c r="E163" s="108"/>
      <c r="F163" s="109"/>
      <c r="G163" s="109"/>
      <c r="I163" s="110"/>
      <c r="K163" s="110"/>
      <c r="M163" s="110"/>
      <c r="O163" s="110"/>
      <c r="Q163" s="110"/>
      <c r="S163" s="110"/>
      <c r="T163" s="111"/>
      <c r="U163" s="111"/>
      <c r="W163" s="112"/>
      <c r="Y163" s="112"/>
      <c r="AA163" s="112"/>
      <c r="AC163" s="112"/>
      <c r="AE163" s="112"/>
      <c r="AG163" s="112"/>
      <c r="AI163" s="113"/>
      <c r="AJ163" s="114"/>
      <c r="AK163" s="113"/>
      <c r="AL163" s="114"/>
      <c r="AM163" s="113"/>
      <c r="AN163" s="114"/>
      <c r="AO163" s="115"/>
      <c r="AP163" s="114"/>
      <c r="AQ163" s="115"/>
      <c r="AR163" s="114"/>
      <c r="AS163" s="115"/>
      <c r="AT163" s="114"/>
      <c r="AU163" s="114"/>
    </row>
    <row r="164">
      <c r="B164" s="105"/>
      <c r="C164" s="106"/>
      <c r="D164" s="107"/>
      <c r="E164" s="108"/>
      <c r="F164" s="109"/>
      <c r="G164" s="109"/>
      <c r="I164" s="110"/>
      <c r="K164" s="110"/>
      <c r="M164" s="110"/>
      <c r="O164" s="110"/>
      <c r="Q164" s="110"/>
      <c r="S164" s="110"/>
      <c r="T164" s="111"/>
      <c r="U164" s="111"/>
      <c r="W164" s="112"/>
      <c r="Y164" s="112"/>
      <c r="AA164" s="112"/>
      <c r="AC164" s="112"/>
      <c r="AE164" s="112"/>
      <c r="AG164" s="112"/>
      <c r="AI164" s="113"/>
      <c r="AJ164" s="114"/>
      <c r="AK164" s="113"/>
      <c r="AL164" s="114"/>
      <c r="AM164" s="113"/>
      <c r="AN164" s="114"/>
      <c r="AO164" s="115"/>
      <c r="AP164" s="114"/>
      <c r="AQ164" s="115"/>
      <c r="AR164" s="114"/>
      <c r="AS164" s="115"/>
      <c r="AT164" s="114"/>
      <c r="AU164" s="114"/>
    </row>
    <row r="165">
      <c r="B165" s="105"/>
      <c r="C165" s="106"/>
      <c r="D165" s="107"/>
      <c r="E165" s="108"/>
      <c r="F165" s="109"/>
      <c r="G165" s="109"/>
      <c r="I165" s="110"/>
      <c r="K165" s="110"/>
      <c r="M165" s="110"/>
      <c r="O165" s="110"/>
      <c r="Q165" s="110"/>
      <c r="S165" s="110"/>
      <c r="T165" s="111"/>
      <c r="U165" s="111"/>
      <c r="W165" s="112"/>
      <c r="Y165" s="112"/>
      <c r="AA165" s="112"/>
      <c r="AC165" s="112"/>
      <c r="AE165" s="112"/>
      <c r="AG165" s="112"/>
      <c r="AI165" s="113"/>
      <c r="AJ165" s="114"/>
      <c r="AK165" s="113"/>
      <c r="AL165" s="114"/>
      <c r="AM165" s="113"/>
      <c r="AN165" s="114"/>
      <c r="AO165" s="115"/>
      <c r="AP165" s="114"/>
      <c r="AQ165" s="115"/>
      <c r="AR165" s="114"/>
      <c r="AS165" s="115"/>
      <c r="AT165" s="114"/>
      <c r="AU165" s="114"/>
    </row>
    <row r="166">
      <c r="B166" s="105"/>
      <c r="C166" s="106"/>
      <c r="D166" s="107"/>
      <c r="E166" s="108"/>
      <c r="F166" s="109"/>
      <c r="G166" s="109"/>
      <c r="I166" s="110"/>
      <c r="K166" s="110"/>
      <c r="M166" s="110"/>
      <c r="O166" s="110"/>
      <c r="Q166" s="110"/>
      <c r="S166" s="110"/>
      <c r="T166" s="111"/>
      <c r="U166" s="111"/>
      <c r="W166" s="112"/>
      <c r="Y166" s="112"/>
      <c r="AA166" s="112"/>
      <c r="AC166" s="112"/>
      <c r="AE166" s="112"/>
      <c r="AG166" s="112"/>
      <c r="AI166" s="113"/>
      <c r="AJ166" s="114"/>
      <c r="AK166" s="113"/>
      <c r="AL166" s="114"/>
      <c r="AM166" s="113"/>
      <c r="AN166" s="114"/>
      <c r="AO166" s="115"/>
      <c r="AP166" s="114"/>
      <c r="AQ166" s="115"/>
      <c r="AR166" s="114"/>
      <c r="AS166" s="115"/>
      <c r="AT166" s="114"/>
      <c r="AU166" s="114"/>
    </row>
    <row r="167">
      <c r="B167" s="105"/>
      <c r="C167" s="106"/>
      <c r="D167" s="107"/>
      <c r="E167" s="108"/>
      <c r="F167" s="109"/>
      <c r="G167" s="109"/>
      <c r="I167" s="110"/>
      <c r="K167" s="110"/>
      <c r="M167" s="110"/>
      <c r="O167" s="110"/>
      <c r="Q167" s="110"/>
      <c r="S167" s="110"/>
      <c r="T167" s="111"/>
      <c r="U167" s="111"/>
      <c r="W167" s="112"/>
      <c r="Y167" s="112"/>
      <c r="AA167" s="112"/>
      <c r="AC167" s="112"/>
      <c r="AE167" s="112"/>
      <c r="AG167" s="112"/>
      <c r="AI167" s="113"/>
      <c r="AJ167" s="114"/>
      <c r="AK167" s="113"/>
      <c r="AL167" s="114"/>
      <c r="AM167" s="113"/>
      <c r="AN167" s="114"/>
      <c r="AO167" s="115"/>
      <c r="AP167" s="114"/>
      <c r="AQ167" s="115"/>
      <c r="AR167" s="114"/>
      <c r="AS167" s="115"/>
      <c r="AT167" s="114"/>
      <c r="AU167" s="114"/>
    </row>
    <row r="168">
      <c r="B168" s="105"/>
      <c r="C168" s="106"/>
      <c r="D168" s="107"/>
      <c r="E168" s="108"/>
      <c r="F168" s="109"/>
      <c r="G168" s="109"/>
      <c r="I168" s="110"/>
      <c r="K168" s="110"/>
      <c r="M168" s="110"/>
      <c r="O168" s="110"/>
      <c r="Q168" s="110"/>
      <c r="S168" s="110"/>
      <c r="T168" s="111"/>
      <c r="U168" s="111"/>
      <c r="W168" s="112"/>
      <c r="Y168" s="112"/>
      <c r="AA168" s="112"/>
      <c r="AC168" s="112"/>
      <c r="AE168" s="112"/>
      <c r="AG168" s="112"/>
      <c r="AI168" s="113"/>
      <c r="AJ168" s="114"/>
      <c r="AK168" s="113"/>
      <c r="AL168" s="114"/>
      <c r="AM168" s="113"/>
      <c r="AN168" s="114"/>
      <c r="AO168" s="115"/>
      <c r="AP168" s="114"/>
      <c r="AQ168" s="115"/>
      <c r="AR168" s="114"/>
      <c r="AS168" s="115"/>
      <c r="AT168" s="114"/>
      <c r="AU168" s="114"/>
    </row>
    <row r="169">
      <c r="B169" s="105"/>
      <c r="C169" s="106"/>
      <c r="D169" s="107"/>
      <c r="E169" s="108"/>
      <c r="F169" s="109"/>
      <c r="G169" s="109"/>
      <c r="I169" s="110"/>
      <c r="K169" s="110"/>
      <c r="M169" s="110"/>
      <c r="O169" s="110"/>
      <c r="Q169" s="110"/>
      <c r="S169" s="110"/>
      <c r="T169" s="111"/>
      <c r="U169" s="111"/>
      <c r="W169" s="112"/>
      <c r="Y169" s="112"/>
      <c r="AA169" s="112"/>
      <c r="AC169" s="112"/>
      <c r="AE169" s="112"/>
      <c r="AG169" s="112"/>
      <c r="AI169" s="113"/>
      <c r="AJ169" s="114"/>
      <c r="AK169" s="113"/>
      <c r="AL169" s="114"/>
      <c r="AM169" s="113"/>
      <c r="AN169" s="114"/>
      <c r="AO169" s="115"/>
      <c r="AP169" s="114"/>
      <c r="AQ169" s="115"/>
      <c r="AR169" s="114"/>
      <c r="AS169" s="115"/>
      <c r="AT169" s="114"/>
      <c r="AU169" s="114"/>
    </row>
    <row r="170">
      <c r="B170" s="105"/>
      <c r="C170" s="106"/>
      <c r="D170" s="107"/>
      <c r="E170" s="108"/>
      <c r="F170" s="109"/>
      <c r="G170" s="109"/>
      <c r="I170" s="110"/>
      <c r="K170" s="110"/>
      <c r="M170" s="110"/>
      <c r="O170" s="110"/>
      <c r="Q170" s="110"/>
      <c r="S170" s="110"/>
      <c r="T170" s="111"/>
      <c r="U170" s="111"/>
      <c r="W170" s="112"/>
      <c r="Y170" s="112"/>
      <c r="AA170" s="112"/>
      <c r="AC170" s="112"/>
      <c r="AE170" s="112"/>
      <c r="AG170" s="112"/>
      <c r="AI170" s="113"/>
      <c r="AJ170" s="114"/>
      <c r="AK170" s="113"/>
      <c r="AL170" s="114"/>
      <c r="AM170" s="113"/>
      <c r="AN170" s="114"/>
      <c r="AO170" s="115"/>
      <c r="AP170" s="114"/>
      <c r="AQ170" s="115"/>
      <c r="AR170" s="114"/>
      <c r="AS170" s="115"/>
      <c r="AT170" s="114"/>
      <c r="AU170" s="114"/>
    </row>
    <row r="171">
      <c r="B171" s="105"/>
      <c r="C171" s="106"/>
      <c r="D171" s="107"/>
      <c r="E171" s="108"/>
      <c r="F171" s="109"/>
      <c r="G171" s="109"/>
      <c r="I171" s="110"/>
      <c r="K171" s="110"/>
      <c r="M171" s="110"/>
      <c r="O171" s="110"/>
      <c r="Q171" s="110"/>
      <c r="S171" s="110"/>
      <c r="T171" s="111"/>
      <c r="U171" s="111"/>
      <c r="W171" s="112"/>
      <c r="Y171" s="112"/>
      <c r="AA171" s="112"/>
      <c r="AC171" s="112"/>
      <c r="AE171" s="112"/>
      <c r="AG171" s="112"/>
      <c r="AI171" s="113"/>
      <c r="AJ171" s="114"/>
      <c r="AK171" s="113"/>
      <c r="AL171" s="114"/>
      <c r="AM171" s="113"/>
      <c r="AN171" s="114"/>
      <c r="AO171" s="115"/>
      <c r="AP171" s="114"/>
      <c r="AQ171" s="115"/>
      <c r="AR171" s="114"/>
      <c r="AS171" s="115"/>
      <c r="AT171" s="114"/>
      <c r="AU171" s="114"/>
    </row>
    <row r="172">
      <c r="B172" s="105"/>
      <c r="C172" s="106"/>
      <c r="D172" s="107"/>
      <c r="E172" s="108"/>
      <c r="F172" s="109"/>
      <c r="G172" s="109"/>
      <c r="I172" s="110"/>
      <c r="K172" s="110"/>
      <c r="M172" s="110"/>
      <c r="O172" s="110"/>
      <c r="Q172" s="110"/>
      <c r="S172" s="110"/>
      <c r="T172" s="111"/>
      <c r="U172" s="111"/>
      <c r="W172" s="112"/>
      <c r="Y172" s="112"/>
      <c r="AA172" s="112"/>
      <c r="AC172" s="112"/>
      <c r="AE172" s="112"/>
      <c r="AG172" s="112"/>
      <c r="AI172" s="113"/>
      <c r="AJ172" s="114"/>
      <c r="AK172" s="113"/>
      <c r="AL172" s="114"/>
      <c r="AM172" s="113"/>
      <c r="AN172" s="114"/>
      <c r="AO172" s="115"/>
      <c r="AP172" s="114"/>
      <c r="AQ172" s="115"/>
      <c r="AR172" s="114"/>
      <c r="AS172" s="115"/>
      <c r="AT172" s="114"/>
      <c r="AU172" s="114"/>
    </row>
    <row r="173">
      <c r="B173" s="105"/>
      <c r="C173" s="106"/>
      <c r="D173" s="107"/>
      <c r="E173" s="108"/>
      <c r="F173" s="109"/>
      <c r="G173" s="109"/>
      <c r="I173" s="110"/>
      <c r="K173" s="110"/>
      <c r="M173" s="110"/>
      <c r="O173" s="110"/>
      <c r="Q173" s="110"/>
      <c r="S173" s="110"/>
      <c r="T173" s="111"/>
      <c r="U173" s="111"/>
      <c r="W173" s="112"/>
      <c r="Y173" s="112"/>
      <c r="AA173" s="112"/>
      <c r="AC173" s="112"/>
      <c r="AE173" s="112"/>
      <c r="AG173" s="112"/>
      <c r="AI173" s="113"/>
      <c r="AJ173" s="114"/>
      <c r="AK173" s="113"/>
      <c r="AL173" s="114"/>
      <c r="AM173" s="113"/>
      <c r="AN173" s="114"/>
      <c r="AO173" s="115"/>
      <c r="AP173" s="114"/>
      <c r="AQ173" s="115"/>
      <c r="AR173" s="114"/>
      <c r="AS173" s="115"/>
      <c r="AT173" s="114"/>
      <c r="AU173" s="114"/>
    </row>
    <row r="174">
      <c r="B174" s="105"/>
      <c r="C174" s="106"/>
      <c r="D174" s="107"/>
      <c r="E174" s="108"/>
      <c r="F174" s="109"/>
      <c r="G174" s="109"/>
      <c r="I174" s="110"/>
      <c r="K174" s="110"/>
      <c r="M174" s="110"/>
      <c r="O174" s="110"/>
      <c r="Q174" s="110"/>
      <c r="S174" s="110"/>
      <c r="T174" s="111"/>
      <c r="U174" s="111"/>
      <c r="W174" s="112"/>
      <c r="Y174" s="112"/>
      <c r="AA174" s="112"/>
      <c r="AC174" s="112"/>
      <c r="AE174" s="112"/>
      <c r="AG174" s="112"/>
      <c r="AI174" s="113"/>
      <c r="AJ174" s="114"/>
      <c r="AK174" s="113"/>
      <c r="AL174" s="114"/>
      <c r="AM174" s="113"/>
      <c r="AN174" s="114"/>
      <c r="AO174" s="115"/>
      <c r="AP174" s="114"/>
      <c r="AQ174" s="115"/>
      <c r="AR174" s="114"/>
      <c r="AS174" s="115"/>
      <c r="AT174" s="114"/>
      <c r="AU174" s="114"/>
    </row>
    <row r="175">
      <c r="B175" s="105"/>
      <c r="C175" s="106"/>
      <c r="D175" s="107"/>
      <c r="E175" s="108"/>
      <c r="F175" s="109"/>
      <c r="G175" s="109"/>
      <c r="I175" s="110"/>
      <c r="K175" s="110"/>
      <c r="M175" s="110"/>
      <c r="O175" s="110"/>
      <c r="Q175" s="110"/>
      <c r="S175" s="110"/>
      <c r="T175" s="111"/>
      <c r="U175" s="111"/>
      <c r="W175" s="112"/>
      <c r="Y175" s="112"/>
      <c r="AA175" s="112"/>
      <c r="AC175" s="112"/>
      <c r="AE175" s="112"/>
      <c r="AG175" s="112"/>
      <c r="AI175" s="113"/>
      <c r="AJ175" s="114"/>
      <c r="AK175" s="113"/>
      <c r="AL175" s="114"/>
      <c r="AM175" s="113"/>
      <c r="AN175" s="114"/>
      <c r="AO175" s="115"/>
      <c r="AP175" s="114"/>
      <c r="AQ175" s="115"/>
      <c r="AR175" s="114"/>
      <c r="AS175" s="115"/>
      <c r="AT175" s="114"/>
      <c r="AU175" s="114"/>
    </row>
    <row r="176">
      <c r="B176" s="105"/>
      <c r="C176" s="106"/>
      <c r="D176" s="107"/>
      <c r="E176" s="108"/>
      <c r="F176" s="109"/>
      <c r="G176" s="109"/>
      <c r="I176" s="110"/>
      <c r="K176" s="110"/>
      <c r="M176" s="110"/>
      <c r="O176" s="110"/>
      <c r="Q176" s="110"/>
      <c r="S176" s="110"/>
      <c r="T176" s="111"/>
      <c r="U176" s="111"/>
      <c r="W176" s="112"/>
      <c r="Y176" s="112"/>
      <c r="AA176" s="112"/>
      <c r="AC176" s="112"/>
      <c r="AE176" s="112"/>
      <c r="AG176" s="112"/>
      <c r="AI176" s="113"/>
      <c r="AJ176" s="114"/>
      <c r="AK176" s="113"/>
      <c r="AL176" s="114"/>
      <c r="AM176" s="113"/>
      <c r="AN176" s="114"/>
      <c r="AO176" s="115"/>
      <c r="AP176" s="114"/>
      <c r="AQ176" s="115"/>
      <c r="AR176" s="114"/>
      <c r="AS176" s="115"/>
      <c r="AT176" s="114"/>
      <c r="AU176" s="114"/>
    </row>
    <row r="177">
      <c r="B177" s="105"/>
      <c r="C177" s="106"/>
      <c r="D177" s="107"/>
      <c r="E177" s="108"/>
      <c r="F177" s="109"/>
      <c r="G177" s="109"/>
      <c r="I177" s="110"/>
      <c r="K177" s="110"/>
      <c r="M177" s="110"/>
      <c r="O177" s="110"/>
      <c r="Q177" s="110"/>
      <c r="S177" s="110"/>
      <c r="T177" s="111"/>
      <c r="U177" s="111"/>
      <c r="W177" s="112"/>
      <c r="Y177" s="112"/>
      <c r="AA177" s="112"/>
      <c r="AC177" s="112"/>
      <c r="AE177" s="112"/>
      <c r="AG177" s="112"/>
      <c r="AI177" s="113"/>
      <c r="AJ177" s="114"/>
      <c r="AK177" s="113"/>
      <c r="AL177" s="114"/>
      <c r="AM177" s="113"/>
      <c r="AN177" s="114"/>
      <c r="AO177" s="115"/>
      <c r="AP177" s="114"/>
      <c r="AQ177" s="115"/>
      <c r="AR177" s="114"/>
      <c r="AS177" s="115"/>
      <c r="AT177" s="114"/>
      <c r="AU177" s="114"/>
    </row>
    <row r="178">
      <c r="B178" s="105"/>
      <c r="C178" s="106"/>
      <c r="D178" s="107"/>
      <c r="E178" s="108"/>
      <c r="F178" s="109"/>
      <c r="G178" s="109"/>
      <c r="I178" s="110"/>
      <c r="K178" s="110"/>
      <c r="M178" s="110"/>
      <c r="O178" s="110"/>
      <c r="Q178" s="110"/>
      <c r="S178" s="110"/>
      <c r="T178" s="111"/>
      <c r="U178" s="111"/>
      <c r="W178" s="112"/>
      <c r="Y178" s="112"/>
      <c r="AA178" s="112"/>
      <c r="AC178" s="112"/>
      <c r="AE178" s="112"/>
      <c r="AG178" s="112"/>
      <c r="AI178" s="113"/>
      <c r="AJ178" s="114"/>
      <c r="AK178" s="113"/>
      <c r="AL178" s="114"/>
      <c r="AM178" s="113"/>
      <c r="AN178" s="114"/>
      <c r="AO178" s="115"/>
      <c r="AP178" s="114"/>
      <c r="AQ178" s="115"/>
      <c r="AR178" s="114"/>
      <c r="AS178" s="115"/>
      <c r="AT178" s="114"/>
      <c r="AU178" s="114"/>
    </row>
    <row r="179">
      <c r="B179" s="105"/>
      <c r="C179" s="106"/>
      <c r="D179" s="107"/>
      <c r="E179" s="108"/>
      <c r="F179" s="109"/>
      <c r="G179" s="109"/>
      <c r="I179" s="110"/>
      <c r="K179" s="110"/>
      <c r="M179" s="110"/>
      <c r="O179" s="110"/>
      <c r="Q179" s="110"/>
      <c r="S179" s="110"/>
      <c r="T179" s="111"/>
      <c r="U179" s="111"/>
      <c r="W179" s="112"/>
      <c r="Y179" s="112"/>
      <c r="AA179" s="112"/>
      <c r="AC179" s="112"/>
      <c r="AE179" s="112"/>
      <c r="AG179" s="112"/>
      <c r="AI179" s="113"/>
      <c r="AJ179" s="114"/>
      <c r="AK179" s="113"/>
      <c r="AL179" s="114"/>
      <c r="AM179" s="113"/>
      <c r="AN179" s="114"/>
      <c r="AO179" s="115"/>
      <c r="AP179" s="114"/>
      <c r="AQ179" s="115"/>
      <c r="AR179" s="114"/>
      <c r="AS179" s="115"/>
      <c r="AT179" s="114"/>
      <c r="AU179" s="114"/>
    </row>
    <row r="180">
      <c r="B180" s="105"/>
      <c r="C180" s="106"/>
      <c r="D180" s="107"/>
      <c r="E180" s="108"/>
      <c r="F180" s="109"/>
      <c r="G180" s="109"/>
      <c r="I180" s="110"/>
      <c r="K180" s="110"/>
      <c r="M180" s="110"/>
      <c r="O180" s="110"/>
      <c r="Q180" s="110"/>
      <c r="S180" s="110"/>
      <c r="T180" s="111"/>
      <c r="U180" s="111"/>
      <c r="W180" s="112"/>
      <c r="Y180" s="112"/>
      <c r="AA180" s="112"/>
      <c r="AC180" s="112"/>
      <c r="AE180" s="112"/>
      <c r="AG180" s="112"/>
      <c r="AI180" s="113"/>
      <c r="AJ180" s="114"/>
      <c r="AK180" s="113"/>
      <c r="AL180" s="114"/>
      <c r="AM180" s="113"/>
      <c r="AN180" s="114"/>
      <c r="AO180" s="115"/>
      <c r="AP180" s="114"/>
      <c r="AQ180" s="115"/>
      <c r="AR180" s="114"/>
      <c r="AS180" s="115"/>
      <c r="AT180" s="114"/>
      <c r="AU180" s="114"/>
    </row>
    <row r="181">
      <c r="B181" s="105"/>
      <c r="C181" s="106"/>
      <c r="D181" s="107"/>
      <c r="E181" s="108"/>
      <c r="F181" s="109"/>
      <c r="G181" s="109"/>
      <c r="I181" s="110"/>
      <c r="K181" s="110"/>
      <c r="M181" s="110"/>
      <c r="O181" s="110"/>
      <c r="Q181" s="110"/>
      <c r="S181" s="110"/>
      <c r="T181" s="111"/>
      <c r="U181" s="111"/>
      <c r="W181" s="112"/>
      <c r="Y181" s="112"/>
      <c r="AA181" s="112"/>
      <c r="AC181" s="112"/>
      <c r="AE181" s="112"/>
      <c r="AG181" s="112"/>
      <c r="AI181" s="113"/>
      <c r="AJ181" s="114"/>
      <c r="AK181" s="113"/>
      <c r="AL181" s="114"/>
      <c r="AM181" s="113"/>
      <c r="AN181" s="114"/>
      <c r="AO181" s="115"/>
      <c r="AP181" s="114"/>
      <c r="AQ181" s="115"/>
      <c r="AR181" s="114"/>
      <c r="AS181" s="115"/>
      <c r="AT181" s="114"/>
      <c r="AU181" s="114"/>
    </row>
    <row r="182">
      <c r="B182" s="105"/>
      <c r="C182" s="106"/>
      <c r="D182" s="107"/>
      <c r="E182" s="108"/>
      <c r="F182" s="109"/>
      <c r="G182" s="109"/>
      <c r="I182" s="110"/>
      <c r="K182" s="110"/>
      <c r="M182" s="110"/>
      <c r="O182" s="110"/>
      <c r="Q182" s="110"/>
      <c r="S182" s="110"/>
      <c r="T182" s="111"/>
      <c r="U182" s="111"/>
      <c r="W182" s="112"/>
      <c r="Y182" s="112"/>
      <c r="AA182" s="112"/>
      <c r="AC182" s="112"/>
      <c r="AE182" s="112"/>
      <c r="AG182" s="112"/>
      <c r="AI182" s="113"/>
      <c r="AJ182" s="114"/>
      <c r="AK182" s="113"/>
      <c r="AL182" s="114"/>
      <c r="AM182" s="113"/>
      <c r="AN182" s="114"/>
      <c r="AO182" s="115"/>
      <c r="AP182" s="114"/>
      <c r="AQ182" s="115"/>
      <c r="AR182" s="114"/>
      <c r="AS182" s="115"/>
      <c r="AT182" s="114"/>
      <c r="AU182" s="114"/>
    </row>
    <row r="183">
      <c r="B183" s="105"/>
      <c r="C183" s="106"/>
      <c r="D183" s="107"/>
      <c r="E183" s="108"/>
      <c r="F183" s="109"/>
      <c r="G183" s="109"/>
      <c r="I183" s="110"/>
      <c r="K183" s="110"/>
      <c r="M183" s="110"/>
      <c r="O183" s="110"/>
      <c r="Q183" s="110"/>
      <c r="S183" s="110"/>
      <c r="T183" s="111"/>
      <c r="U183" s="111"/>
      <c r="W183" s="112"/>
      <c r="Y183" s="112"/>
      <c r="AA183" s="112"/>
      <c r="AC183" s="112"/>
      <c r="AE183" s="112"/>
      <c r="AG183" s="112"/>
      <c r="AI183" s="113"/>
      <c r="AJ183" s="114"/>
      <c r="AK183" s="113"/>
      <c r="AL183" s="114"/>
      <c r="AM183" s="113"/>
      <c r="AN183" s="114"/>
      <c r="AO183" s="115"/>
      <c r="AP183" s="114"/>
      <c r="AQ183" s="115"/>
      <c r="AR183" s="114"/>
      <c r="AS183" s="115"/>
      <c r="AT183" s="114"/>
      <c r="AU183" s="114"/>
    </row>
    <row r="184">
      <c r="B184" s="105"/>
      <c r="C184" s="106"/>
      <c r="D184" s="107"/>
      <c r="E184" s="108"/>
      <c r="F184" s="109"/>
      <c r="G184" s="109"/>
      <c r="I184" s="110"/>
      <c r="K184" s="110"/>
      <c r="M184" s="110"/>
      <c r="O184" s="110"/>
      <c r="Q184" s="110"/>
      <c r="S184" s="110"/>
      <c r="T184" s="111"/>
      <c r="U184" s="111"/>
      <c r="W184" s="112"/>
      <c r="Y184" s="112"/>
      <c r="AA184" s="112"/>
      <c r="AC184" s="112"/>
      <c r="AE184" s="112"/>
      <c r="AG184" s="112"/>
      <c r="AI184" s="113"/>
      <c r="AJ184" s="114"/>
      <c r="AK184" s="113"/>
      <c r="AL184" s="114"/>
      <c r="AM184" s="113"/>
      <c r="AN184" s="114"/>
      <c r="AO184" s="115"/>
      <c r="AP184" s="114"/>
      <c r="AQ184" s="115"/>
      <c r="AR184" s="114"/>
      <c r="AS184" s="115"/>
      <c r="AT184" s="114"/>
      <c r="AU184" s="114"/>
    </row>
    <row r="185">
      <c r="B185" s="105"/>
      <c r="C185" s="106"/>
      <c r="D185" s="107"/>
      <c r="E185" s="108"/>
      <c r="F185" s="109"/>
      <c r="G185" s="109"/>
      <c r="I185" s="110"/>
      <c r="K185" s="110"/>
      <c r="M185" s="110"/>
      <c r="O185" s="110"/>
      <c r="Q185" s="110"/>
      <c r="S185" s="110"/>
      <c r="T185" s="111"/>
      <c r="U185" s="111"/>
      <c r="W185" s="112"/>
      <c r="Y185" s="112"/>
      <c r="AA185" s="112"/>
      <c r="AC185" s="112"/>
      <c r="AE185" s="112"/>
      <c r="AG185" s="112"/>
      <c r="AI185" s="113"/>
      <c r="AJ185" s="114"/>
      <c r="AK185" s="113"/>
      <c r="AL185" s="114"/>
      <c r="AM185" s="113"/>
      <c r="AN185" s="114"/>
      <c r="AO185" s="115"/>
      <c r="AP185" s="114"/>
      <c r="AQ185" s="115"/>
      <c r="AR185" s="114"/>
      <c r="AS185" s="115"/>
      <c r="AT185" s="114"/>
      <c r="AU185" s="114"/>
    </row>
    <row r="186">
      <c r="B186" s="105"/>
      <c r="C186" s="106"/>
      <c r="D186" s="107"/>
      <c r="E186" s="108"/>
      <c r="F186" s="109"/>
      <c r="G186" s="109"/>
      <c r="I186" s="110"/>
      <c r="K186" s="110"/>
      <c r="M186" s="110"/>
      <c r="O186" s="110"/>
      <c r="Q186" s="110"/>
      <c r="S186" s="110"/>
      <c r="T186" s="111"/>
      <c r="U186" s="111"/>
      <c r="W186" s="112"/>
      <c r="Y186" s="112"/>
      <c r="AA186" s="112"/>
      <c r="AC186" s="112"/>
      <c r="AE186" s="112"/>
      <c r="AG186" s="112"/>
      <c r="AI186" s="113"/>
      <c r="AJ186" s="114"/>
      <c r="AK186" s="113"/>
      <c r="AL186" s="114"/>
      <c r="AM186" s="113"/>
      <c r="AN186" s="114"/>
      <c r="AO186" s="115"/>
      <c r="AP186" s="114"/>
      <c r="AQ186" s="115"/>
      <c r="AR186" s="114"/>
      <c r="AS186" s="115"/>
      <c r="AT186" s="114"/>
      <c r="AU186" s="114"/>
    </row>
    <row r="187">
      <c r="B187" s="105"/>
      <c r="C187" s="106"/>
      <c r="D187" s="107"/>
      <c r="E187" s="108"/>
      <c r="F187" s="109"/>
      <c r="G187" s="109"/>
      <c r="I187" s="110"/>
      <c r="K187" s="110"/>
      <c r="M187" s="110"/>
      <c r="O187" s="110"/>
      <c r="Q187" s="110"/>
      <c r="S187" s="110"/>
      <c r="T187" s="111"/>
      <c r="U187" s="111"/>
      <c r="W187" s="112"/>
      <c r="Y187" s="112"/>
      <c r="AA187" s="112"/>
      <c r="AC187" s="112"/>
      <c r="AE187" s="112"/>
      <c r="AG187" s="112"/>
      <c r="AI187" s="113"/>
      <c r="AJ187" s="114"/>
      <c r="AK187" s="113"/>
      <c r="AL187" s="114"/>
      <c r="AM187" s="113"/>
      <c r="AN187" s="114"/>
      <c r="AO187" s="115"/>
      <c r="AP187" s="114"/>
      <c r="AQ187" s="115"/>
      <c r="AR187" s="114"/>
      <c r="AS187" s="115"/>
      <c r="AT187" s="114"/>
      <c r="AU187" s="114"/>
    </row>
    <row r="188">
      <c r="B188" s="105"/>
      <c r="C188" s="106"/>
      <c r="D188" s="107"/>
      <c r="E188" s="108"/>
      <c r="F188" s="109"/>
      <c r="G188" s="109"/>
      <c r="I188" s="110"/>
      <c r="K188" s="110"/>
      <c r="M188" s="110"/>
      <c r="O188" s="110"/>
      <c r="Q188" s="110"/>
      <c r="S188" s="110"/>
      <c r="T188" s="111"/>
      <c r="U188" s="111"/>
      <c r="W188" s="112"/>
      <c r="Y188" s="112"/>
      <c r="AA188" s="112"/>
      <c r="AC188" s="112"/>
      <c r="AE188" s="112"/>
      <c r="AG188" s="112"/>
      <c r="AI188" s="113"/>
      <c r="AJ188" s="114"/>
      <c r="AK188" s="113"/>
      <c r="AL188" s="114"/>
      <c r="AM188" s="113"/>
      <c r="AN188" s="114"/>
      <c r="AO188" s="115"/>
      <c r="AP188" s="114"/>
      <c r="AQ188" s="115"/>
      <c r="AR188" s="114"/>
      <c r="AS188" s="115"/>
      <c r="AT188" s="114"/>
      <c r="AU188" s="114"/>
    </row>
    <row r="189">
      <c r="B189" s="105"/>
      <c r="C189" s="106"/>
      <c r="D189" s="107"/>
      <c r="E189" s="108"/>
      <c r="F189" s="109"/>
      <c r="G189" s="109"/>
      <c r="I189" s="110"/>
      <c r="K189" s="110"/>
      <c r="M189" s="110"/>
      <c r="O189" s="110"/>
      <c r="Q189" s="110"/>
      <c r="S189" s="110"/>
      <c r="T189" s="111"/>
      <c r="U189" s="111"/>
      <c r="W189" s="112"/>
      <c r="Y189" s="112"/>
      <c r="AA189" s="112"/>
      <c r="AC189" s="112"/>
      <c r="AE189" s="112"/>
      <c r="AG189" s="112"/>
      <c r="AI189" s="113"/>
      <c r="AJ189" s="114"/>
      <c r="AK189" s="113"/>
      <c r="AL189" s="114"/>
      <c r="AM189" s="113"/>
      <c r="AN189" s="114"/>
      <c r="AO189" s="115"/>
      <c r="AP189" s="114"/>
      <c r="AQ189" s="115"/>
      <c r="AR189" s="114"/>
      <c r="AS189" s="115"/>
      <c r="AT189" s="114"/>
      <c r="AU189" s="114"/>
    </row>
    <row r="190">
      <c r="B190" s="105"/>
      <c r="C190" s="106"/>
      <c r="D190" s="107"/>
      <c r="E190" s="108"/>
      <c r="F190" s="109"/>
      <c r="G190" s="109"/>
      <c r="I190" s="110"/>
      <c r="K190" s="110"/>
      <c r="M190" s="110"/>
      <c r="O190" s="110"/>
      <c r="Q190" s="110"/>
      <c r="S190" s="110"/>
      <c r="T190" s="111"/>
      <c r="U190" s="111"/>
      <c r="W190" s="112"/>
      <c r="Y190" s="112"/>
      <c r="AA190" s="112"/>
      <c r="AC190" s="112"/>
      <c r="AE190" s="112"/>
      <c r="AG190" s="112"/>
      <c r="AI190" s="113"/>
      <c r="AJ190" s="114"/>
      <c r="AK190" s="113"/>
      <c r="AL190" s="114"/>
      <c r="AM190" s="113"/>
      <c r="AN190" s="114"/>
      <c r="AO190" s="115"/>
      <c r="AP190" s="114"/>
      <c r="AQ190" s="115"/>
      <c r="AR190" s="114"/>
      <c r="AS190" s="115"/>
      <c r="AT190" s="114"/>
      <c r="AU190" s="114"/>
    </row>
    <row r="191">
      <c r="B191" s="105"/>
      <c r="C191" s="106"/>
      <c r="D191" s="107"/>
      <c r="E191" s="108"/>
      <c r="F191" s="109"/>
      <c r="G191" s="109"/>
      <c r="I191" s="110"/>
      <c r="K191" s="110"/>
      <c r="M191" s="110"/>
      <c r="O191" s="110"/>
      <c r="Q191" s="110"/>
      <c r="S191" s="110"/>
      <c r="T191" s="111"/>
      <c r="U191" s="111"/>
      <c r="W191" s="112"/>
      <c r="Y191" s="112"/>
      <c r="AA191" s="112"/>
      <c r="AC191" s="112"/>
      <c r="AE191" s="112"/>
      <c r="AG191" s="112"/>
      <c r="AI191" s="113"/>
      <c r="AJ191" s="114"/>
      <c r="AK191" s="113"/>
      <c r="AL191" s="114"/>
      <c r="AM191" s="113"/>
      <c r="AN191" s="114"/>
      <c r="AO191" s="115"/>
      <c r="AP191" s="114"/>
      <c r="AQ191" s="115"/>
      <c r="AR191" s="114"/>
      <c r="AS191" s="115"/>
      <c r="AT191" s="114"/>
      <c r="AU191" s="114"/>
    </row>
    <row r="192">
      <c r="B192" s="105"/>
      <c r="C192" s="106"/>
      <c r="D192" s="107"/>
      <c r="E192" s="108"/>
      <c r="F192" s="109"/>
      <c r="G192" s="109"/>
      <c r="I192" s="110"/>
      <c r="K192" s="110"/>
      <c r="M192" s="110"/>
      <c r="O192" s="110"/>
      <c r="Q192" s="110"/>
      <c r="S192" s="110"/>
      <c r="T192" s="111"/>
      <c r="U192" s="111"/>
      <c r="W192" s="112"/>
      <c r="Y192" s="112"/>
      <c r="AA192" s="112"/>
      <c r="AC192" s="112"/>
      <c r="AE192" s="112"/>
      <c r="AG192" s="112"/>
      <c r="AI192" s="113"/>
      <c r="AJ192" s="114"/>
      <c r="AK192" s="113"/>
      <c r="AL192" s="114"/>
      <c r="AM192" s="113"/>
      <c r="AN192" s="114"/>
      <c r="AO192" s="115"/>
      <c r="AP192" s="114"/>
      <c r="AQ192" s="115"/>
      <c r="AR192" s="114"/>
      <c r="AS192" s="115"/>
      <c r="AT192" s="114"/>
      <c r="AU192" s="114"/>
    </row>
    <row r="193">
      <c r="B193" s="105"/>
      <c r="C193" s="106"/>
      <c r="D193" s="107"/>
      <c r="E193" s="108"/>
      <c r="F193" s="109"/>
      <c r="G193" s="109"/>
      <c r="I193" s="110"/>
      <c r="K193" s="110"/>
      <c r="M193" s="110"/>
      <c r="O193" s="110"/>
      <c r="Q193" s="110"/>
      <c r="S193" s="110"/>
      <c r="T193" s="111"/>
      <c r="U193" s="111"/>
      <c r="W193" s="112"/>
      <c r="Y193" s="112"/>
      <c r="AA193" s="112"/>
      <c r="AC193" s="112"/>
      <c r="AE193" s="112"/>
      <c r="AG193" s="112"/>
      <c r="AI193" s="113"/>
      <c r="AJ193" s="114"/>
      <c r="AK193" s="113"/>
      <c r="AL193" s="114"/>
      <c r="AM193" s="113"/>
      <c r="AN193" s="114"/>
      <c r="AO193" s="115"/>
      <c r="AP193" s="114"/>
      <c r="AQ193" s="115"/>
      <c r="AR193" s="114"/>
      <c r="AS193" s="115"/>
      <c r="AT193" s="114"/>
      <c r="AU193" s="114"/>
    </row>
    <row r="194">
      <c r="B194" s="105"/>
      <c r="C194" s="106"/>
      <c r="D194" s="107"/>
      <c r="E194" s="108"/>
      <c r="F194" s="109"/>
      <c r="G194" s="109"/>
      <c r="I194" s="110"/>
      <c r="K194" s="110"/>
      <c r="M194" s="110"/>
      <c r="O194" s="110"/>
      <c r="Q194" s="110"/>
      <c r="S194" s="110"/>
      <c r="T194" s="111"/>
      <c r="U194" s="111"/>
      <c r="W194" s="112"/>
      <c r="Y194" s="112"/>
      <c r="AA194" s="112"/>
      <c r="AC194" s="112"/>
      <c r="AE194" s="112"/>
      <c r="AG194" s="112"/>
      <c r="AI194" s="113"/>
      <c r="AJ194" s="114"/>
      <c r="AK194" s="113"/>
      <c r="AL194" s="114"/>
      <c r="AM194" s="113"/>
      <c r="AN194" s="114"/>
      <c r="AO194" s="115"/>
      <c r="AP194" s="114"/>
      <c r="AQ194" s="115"/>
      <c r="AR194" s="114"/>
      <c r="AS194" s="115"/>
      <c r="AT194" s="114"/>
      <c r="AU194" s="114"/>
    </row>
    <row r="195">
      <c r="B195" s="105"/>
      <c r="C195" s="106"/>
      <c r="D195" s="107"/>
      <c r="E195" s="108"/>
      <c r="F195" s="109"/>
      <c r="G195" s="109"/>
      <c r="I195" s="110"/>
      <c r="K195" s="110"/>
      <c r="M195" s="110"/>
      <c r="O195" s="110"/>
      <c r="Q195" s="110"/>
      <c r="S195" s="110"/>
      <c r="T195" s="111"/>
      <c r="U195" s="111"/>
      <c r="W195" s="112"/>
      <c r="Y195" s="112"/>
      <c r="AA195" s="112"/>
      <c r="AC195" s="112"/>
      <c r="AE195" s="112"/>
      <c r="AG195" s="112"/>
      <c r="AI195" s="113"/>
      <c r="AJ195" s="114"/>
      <c r="AK195" s="113"/>
      <c r="AL195" s="114"/>
      <c r="AM195" s="113"/>
      <c r="AN195" s="114"/>
      <c r="AO195" s="115"/>
      <c r="AP195" s="114"/>
      <c r="AQ195" s="115"/>
      <c r="AR195" s="114"/>
      <c r="AS195" s="115"/>
      <c r="AT195" s="114"/>
      <c r="AU195" s="114"/>
    </row>
    <row r="196">
      <c r="B196" s="105"/>
      <c r="C196" s="106"/>
      <c r="D196" s="107"/>
      <c r="E196" s="108"/>
      <c r="F196" s="109"/>
      <c r="G196" s="109"/>
      <c r="I196" s="110"/>
      <c r="K196" s="110"/>
      <c r="M196" s="110"/>
      <c r="O196" s="110"/>
      <c r="Q196" s="110"/>
      <c r="S196" s="110"/>
      <c r="T196" s="111"/>
      <c r="U196" s="111"/>
      <c r="W196" s="112"/>
      <c r="Y196" s="112"/>
      <c r="AA196" s="112"/>
      <c r="AC196" s="112"/>
      <c r="AE196" s="112"/>
      <c r="AG196" s="112"/>
      <c r="AI196" s="113"/>
      <c r="AJ196" s="114"/>
      <c r="AK196" s="113"/>
      <c r="AL196" s="114"/>
      <c r="AM196" s="113"/>
      <c r="AN196" s="114"/>
      <c r="AO196" s="115"/>
      <c r="AP196" s="114"/>
      <c r="AQ196" s="115"/>
      <c r="AR196" s="114"/>
      <c r="AS196" s="115"/>
      <c r="AT196" s="114"/>
      <c r="AU196" s="114"/>
    </row>
    <row r="197">
      <c r="B197" s="105"/>
      <c r="C197" s="106"/>
      <c r="D197" s="107"/>
      <c r="E197" s="108"/>
      <c r="F197" s="109"/>
      <c r="G197" s="109"/>
      <c r="I197" s="110"/>
      <c r="K197" s="110"/>
      <c r="M197" s="110"/>
      <c r="O197" s="110"/>
      <c r="Q197" s="110"/>
      <c r="S197" s="110"/>
      <c r="T197" s="111"/>
      <c r="U197" s="111"/>
      <c r="W197" s="112"/>
      <c r="Y197" s="112"/>
      <c r="AA197" s="112"/>
      <c r="AC197" s="112"/>
      <c r="AE197" s="112"/>
      <c r="AG197" s="112"/>
      <c r="AI197" s="113"/>
      <c r="AJ197" s="114"/>
      <c r="AK197" s="113"/>
      <c r="AL197" s="114"/>
      <c r="AM197" s="113"/>
      <c r="AN197" s="114"/>
      <c r="AO197" s="115"/>
      <c r="AP197" s="114"/>
      <c r="AQ197" s="115"/>
      <c r="AR197" s="114"/>
      <c r="AS197" s="115"/>
      <c r="AT197" s="114"/>
      <c r="AU197" s="114"/>
    </row>
    <row r="198">
      <c r="B198" s="105"/>
      <c r="C198" s="106"/>
      <c r="D198" s="107"/>
      <c r="E198" s="108"/>
      <c r="F198" s="109"/>
      <c r="G198" s="109"/>
      <c r="I198" s="110"/>
      <c r="K198" s="110"/>
      <c r="M198" s="110"/>
      <c r="O198" s="110"/>
      <c r="Q198" s="110"/>
      <c r="S198" s="110"/>
      <c r="T198" s="111"/>
      <c r="U198" s="111"/>
      <c r="W198" s="112"/>
      <c r="Y198" s="112"/>
      <c r="AA198" s="112"/>
      <c r="AC198" s="112"/>
      <c r="AE198" s="112"/>
      <c r="AG198" s="112"/>
      <c r="AI198" s="113"/>
      <c r="AJ198" s="114"/>
      <c r="AK198" s="113"/>
      <c r="AL198" s="114"/>
      <c r="AM198" s="113"/>
      <c r="AN198" s="114"/>
      <c r="AO198" s="115"/>
      <c r="AP198" s="114"/>
      <c r="AQ198" s="115"/>
      <c r="AR198" s="114"/>
      <c r="AS198" s="115"/>
      <c r="AT198" s="114"/>
      <c r="AU198" s="114"/>
    </row>
    <row r="199">
      <c r="B199" s="105"/>
      <c r="C199" s="106"/>
      <c r="D199" s="107"/>
      <c r="E199" s="108"/>
      <c r="F199" s="109"/>
      <c r="G199" s="109"/>
      <c r="I199" s="110"/>
      <c r="K199" s="110"/>
      <c r="M199" s="110"/>
      <c r="O199" s="110"/>
      <c r="Q199" s="110"/>
      <c r="S199" s="110"/>
      <c r="T199" s="111"/>
      <c r="U199" s="111"/>
      <c r="W199" s="112"/>
      <c r="Y199" s="112"/>
      <c r="AA199" s="112"/>
      <c r="AC199" s="112"/>
      <c r="AE199" s="112"/>
      <c r="AG199" s="112"/>
      <c r="AI199" s="113"/>
      <c r="AJ199" s="114"/>
      <c r="AK199" s="113"/>
      <c r="AL199" s="114"/>
      <c r="AM199" s="113"/>
      <c r="AN199" s="114"/>
      <c r="AO199" s="115"/>
      <c r="AP199" s="114"/>
      <c r="AQ199" s="115"/>
      <c r="AR199" s="114"/>
      <c r="AS199" s="115"/>
      <c r="AT199" s="114"/>
      <c r="AU199" s="114"/>
    </row>
    <row r="200">
      <c r="B200" s="105"/>
      <c r="C200" s="106"/>
      <c r="D200" s="107"/>
      <c r="E200" s="108"/>
      <c r="F200" s="109"/>
      <c r="G200" s="109"/>
      <c r="I200" s="110"/>
      <c r="K200" s="110"/>
      <c r="M200" s="110"/>
      <c r="O200" s="110"/>
      <c r="Q200" s="110"/>
      <c r="S200" s="110"/>
      <c r="T200" s="111"/>
      <c r="U200" s="111"/>
      <c r="W200" s="112"/>
      <c r="Y200" s="112"/>
      <c r="AA200" s="112"/>
      <c r="AC200" s="112"/>
      <c r="AE200" s="112"/>
      <c r="AG200" s="112"/>
      <c r="AI200" s="113"/>
      <c r="AJ200" s="114"/>
      <c r="AK200" s="113"/>
      <c r="AL200" s="114"/>
      <c r="AM200" s="113"/>
      <c r="AN200" s="114"/>
      <c r="AO200" s="115"/>
      <c r="AP200" s="114"/>
      <c r="AQ200" s="115"/>
      <c r="AR200" s="114"/>
      <c r="AS200" s="115"/>
      <c r="AT200" s="114"/>
      <c r="AU200" s="114"/>
    </row>
    <row r="201">
      <c r="B201" s="105"/>
      <c r="C201" s="106"/>
      <c r="D201" s="107"/>
      <c r="E201" s="108"/>
      <c r="F201" s="109"/>
      <c r="G201" s="109"/>
      <c r="I201" s="110"/>
      <c r="K201" s="110"/>
      <c r="M201" s="110"/>
      <c r="O201" s="110"/>
      <c r="Q201" s="110"/>
      <c r="S201" s="110"/>
      <c r="T201" s="111"/>
      <c r="U201" s="111"/>
      <c r="W201" s="112"/>
      <c r="Y201" s="112"/>
      <c r="AA201" s="112"/>
      <c r="AC201" s="112"/>
      <c r="AE201" s="112"/>
      <c r="AG201" s="112"/>
      <c r="AI201" s="113"/>
      <c r="AJ201" s="114"/>
      <c r="AK201" s="113"/>
      <c r="AL201" s="114"/>
      <c r="AM201" s="113"/>
      <c r="AN201" s="114"/>
      <c r="AO201" s="115"/>
      <c r="AP201" s="114"/>
      <c r="AQ201" s="115"/>
      <c r="AR201" s="114"/>
      <c r="AS201" s="115"/>
      <c r="AT201" s="114"/>
      <c r="AU201" s="114"/>
    </row>
    <row r="202">
      <c r="B202" s="105"/>
      <c r="C202" s="106"/>
      <c r="D202" s="107"/>
      <c r="E202" s="108"/>
      <c r="F202" s="109"/>
      <c r="G202" s="109"/>
      <c r="I202" s="110"/>
      <c r="K202" s="110"/>
      <c r="M202" s="110"/>
      <c r="O202" s="110"/>
      <c r="Q202" s="110"/>
      <c r="S202" s="110"/>
      <c r="T202" s="111"/>
      <c r="U202" s="111"/>
      <c r="W202" s="112"/>
      <c r="Y202" s="112"/>
      <c r="AA202" s="112"/>
      <c r="AC202" s="112"/>
      <c r="AE202" s="112"/>
      <c r="AG202" s="112"/>
      <c r="AI202" s="113"/>
      <c r="AJ202" s="114"/>
      <c r="AK202" s="113"/>
      <c r="AL202" s="114"/>
      <c r="AM202" s="113"/>
      <c r="AN202" s="114"/>
      <c r="AO202" s="115"/>
      <c r="AP202" s="114"/>
      <c r="AQ202" s="115"/>
      <c r="AR202" s="114"/>
      <c r="AS202" s="115"/>
      <c r="AT202" s="114"/>
      <c r="AU202" s="114"/>
    </row>
    <row r="203">
      <c r="B203" s="105"/>
      <c r="C203" s="106"/>
      <c r="D203" s="107"/>
      <c r="E203" s="108"/>
      <c r="F203" s="109"/>
      <c r="G203" s="109"/>
      <c r="I203" s="110"/>
      <c r="K203" s="110"/>
      <c r="M203" s="110"/>
      <c r="O203" s="110"/>
      <c r="Q203" s="110"/>
      <c r="S203" s="110"/>
      <c r="T203" s="111"/>
      <c r="U203" s="111"/>
      <c r="W203" s="112"/>
      <c r="Y203" s="112"/>
      <c r="AA203" s="112"/>
      <c r="AC203" s="112"/>
      <c r="AE203" s="112"/>
      <c r="AG203" s="112"/>
      <c r="AI203" s="113"/>
      <c r="AJ203" s="114"/>
      <c r="AK203" s="113"/>
      <c r="AL203" s="114"/>
      <c r="AM203" s="113"/>
      <c r="AN203" s="114"/>
      <c r="AO203" s="115"/>
      <c r="AP203" s="114"/>
      <c r="AQ203" s="115"/>
      <c r="AR203" s="114"/>
      <c r="AS203" s="115"/>
      <c r="AT203" s="114"/>
      <c r="AU203" s="114"/>
    </row>
    <row r="204">
      <c r="B204" s="105"/>
      <c r="C204" s="106"/>
      <c r="D204" s="107"/>
      <c r="E204" s="108"/>
      <c r="F204" s="109"/>
      <c r="G204" s="109"/>
      <c r="I204" s="110"/>
      <c r="K204" s="110"/>
      <c r="M204" s="110"/>
      <c r="O204" s="110"/>
      <c r="Q204" s="110"/>
      <c r="S204" s="110"/>
      <c r="T204" s="111"/>
      <c r="U204" s="111"/>
      <c r="W204" s="112"/>
      <c r="Y204" s="112"/>
      <c r="AA204" s="112"/>
      <c r="AC204" s="112"/>
      <c r="AE204" s="112"/>
      <c r="AG204" s="112"/>
      <c r="AI204" s="113"/>
      <c r="AJ204" s="114"/>
      <c r="AK204" s="113"/>
      <c r="AL204" s="114"/>
      <c r="AM204" s="113"/>
      <c r="AN204" s="114"/>
      <c r="AO204" s="115"/>
      <c r="AP204" s="114"/>
      <c r="AQ204" s="115"/>
      <c r="AR204" s="114"/>
      <c r="AS204" s="115"/>
      <c r="AT204" s="114"/>
      <c r="AU204" s="114"/>
    </row>
    <row r="205">
      <c r="B205" s="105"/>
      <c r="C205" s="106"/>
      <c r="D205" s="107"/>
      <c r="E205" s="108"/>
      <c r="F205" s="109"/>
      <c r="G205" s="109"/>
      <c r="I205" s="110"/>
      <c r="K205" s="110"/>
      <c r="M205" s="110"/>
      <c r="O205" s="110"/>
      <c r="Q205" s="110"/>
      <c r="S205" s="110"/>
      <c r="T205" s="111"/>
      <c r="U205" s="111"/>
      <c r="W205" s="112"/>
      <c r="Y205" s="112"/>
      <c r="AA205" s="112"/>
      <c r="AC205" s="112"/>
      <c r="AE205" s="112"/>
      <c r="AG205" s="112"/>
      <c r="AI205" s="113"/>
      <c r="AJ205" s="114"/>
      <c r="AK205" s="113"/>
      <c r="AL205" s="114"/>
      <c r="AM205" s="113"/>
      <c r="AN205" s="114"/>
      <c r="AO205" s="115"/>
      <c r="AP205" s="114"/>
      <c r="AQ205" s="115"/>
      <c r="AR205" s="114"/>
      <c r="AS205" s="115"/>
      <c r="AT205" s="114"/>
      <c r="AU205" s="114"/>
    </row>
    <row r="206">
      <c r="B206" s="105"/>
      <c r="C206" s="106"/>
      <c r="D206" s="107"/>
      <c r="E206" s="108"/>
      <c r="F206" s="109"/>
      <c r="G206" s="109"/>
      <c r="I206" s="110"/>
      <c r="K206" s="110"/>
      <c r="M206" s="110"/>
      <c r="O206" s="110"/>
      <c r="Q206" s="110"/>
      <c r="S206" s="110"/>
      <c r="T206" s="111"/>
      <c r="U206" s="111"/>
      <c r="W206" s="112"/>
      <c r="Y206" s="112"/>
      <c r="AA206" s="112"/>
      <c r="AC206" s="112"/>
      <c r="AE206" s="112"/>
      <c r="AG206" s="112"/>
      <c r="AI206" s="113"/>
      <c r="AJ206" s="114"/>
      <c r="AK206" s="113"/>
      <c r="AL206" s="114"/>
      <c r="AM206" s="113"/>
      <c r="AN206" s="114"/>
      <c r="AO206" s="115"/>
      <c r="AP206" s="114"/>
      <c r="AQ206" s="115"/>
      <c r="AR206" s="114"/>
      <c r="AS206" s="115"/>
      <c r="AT206" s="114"/>
      <c r="AU206" s="114"/>
    </row>
    <row r="207">
      <c r="B207" s="105"/>
      <c r="C207" s="106"/>
      <c r="D207" s="107"/>
      <c r="E207" s="108"/>
      <c r="F207" s="109"/>
      <c r="G207" s="109"/>
      <c r="I207" s="110"/>
      <c r="K207" s="110"/>
      <c r="M207" s="110"/>
      <c r="O207" s="110"/>
      <c r="Q207" s="110"/>
      <c r="S207" s="110"/>
      <c r="T207" s="111"/>
      <c r="U207" s="111"/>
      <c r="W207" s="112"/>
      <c r="Y207" s="112"/>
      <c r="AA207" s="112"/>
      <c r="AC207" s="112"/>
      <c r="AE207" s="112"/>
      <c r="AG207" s="112"/>
      <c r="AI207" s="113"/>
      <c r="AJ207" s="114"/>
      <c r="AK207" s="113"/>
      <c r="AL207" s="114"/>
      <c r="AM207" s="113"/>
      <c r="AN207" s="114"/>
      <c r="AO207" s="115"/>
      <c r="AP207" s="114"/>
      <c r="AQ207" s="115"/>
      <c r="AR207" s="114"/>
      <c r="AS207" s="115"/>
      <c r="AT207" s="114"/>
      <c r="AU207" s="114"/>
    </row>
    <row r="208">
      <c r="B208" s="105"/>
      <c r="C208" s="106"/>
      <c r="D208" s="107"/>
      <c r="E208" s="108"/>
      <c r="F208" s="109"/>
      <c r="G208" s="109"/>
      <c r="I208" s="110"/>
      <c r="K208" s="110"/>
      <c r="M208" s="110"/>
      <c r="O208" s="110"/>
      <c r="Q208" s="110"/>
      <c r="S208" s="110"/>
      <c r="T208" s="111"/>
      <c r="U208" s="111"/>
      <c r="W208" s="112"/>
      <c r="Y208" s="112"/>
      <c r="AA208" s="112"/>
      <c r="AC208" s="112"/>
      <c r="AE208" s="112"/>
      <c r="AG208" s="112"/>
      <c r="AI208" s="113"/>
      <c r="AJ208" s="114"/>
      <c r="AK208" s="113"/>
      <c r="AL208" s="114"/>
      <c r="AM208" s="113"/>
      <c r="AN208" s="114"/>
      <c r="AO208" s="115"/>
      <c r="AP208" s="114"/>
      <c r="AQ208" s="115"/>
      <c r="AR208" s="114"/>
      <c r="AS208" s="115"/>
      <c r="AT208" s="114"/>
      <c r="AU208" s="114"/>
    </row>
    <row r="209">
      <c r="B209" s="105"/>
      <c r="C209" s="106"/>
      <c r="D209" s="107"/>
      <c r="E209" s="108"/>
      <c r="F209" s="109"/>
      <c r="G209" s="109"/>
      <c r="I209" s="110"/>
      <c r="K209" s="110"/>
      <c r="M209" s="110"/>
      <c r="O209" s="110"/>
      <c r="Q209" s="110"/>
      <c r="S209" s="110"/>
      <c r="T209" s="111"/>
      <c r="U209" s="111"/>
      <c r="W209" s="112"/>
      <c r="Y209" s="112"/>
      <c r="AA209" s="112"/>
      <c r="AC209" s="112"/>
      <c r="AE209" s="112"/>
      <c r="AG209" s="112"/>
      <c r="AI209" s="113"/>
      <c r="AJ209" s="114"/>
      <c r="AK209" s="113"/>
      <c r="AL209" s="114"/>
      <c r="AM209" s="113"/>
      <c r="AN209" s="114"/>
      <c r="AO209" s="115"/>
      <c r="AP209" s="114"/>
      <c r="AQ209" s="115"/>
      <c r="AR209" s="114"/>
      <c r="AS209" s="115"/>
      <c r="AT209" s="114"/>
      <c r="AU209" s="114"/>
    </row>
    <row r="210">
      <c r="B210" s="105"/>
      <c r="C210" s="106"/>
      <c r="D210" s="107"/>
      <c r="E210" s="108"/>
      <c r="F210" s="109"/>
      <c r="G210" s="109"/>
      <c r="I210" s="110"/>
      <c r="K210" s="110"/>
      <c r="M210" s="110"/>
      <c r="O210" s="110"/>
      <c r="Q210" s="110"/>
      <c r="S210" s="110"/>
      <c r="T210" s="111"/>
      <c r="U210" s="111"/>
      <c r="W210" s="112"/>
      <c r="Y210" s="112"/>
      <c r="AA210" s="112"/>
      <c r="AC210" s="112"/>
      <c r="AE210" s="112"/>
      <c r="AG210" s="112"/>
      <c r="AI210" s="113"/>
      <c r="AJ210" s="114"/>
      <c r="AK210" s="113"/>
      <c r="AL210" s="114"/>
      <c r="AM210" s="113"/>
      <c r="AN210" s="114"/>
      <c r="AO210" s="115"/>
      <c r="AP210" s="114"/>
      <c r="AQ210" s="115"/>
      <c r="AR210" s="114"/>
      <c r="AS210" s="115"/>
      <c r="AT210" s="114"/>
      <c r="AU210" s="114"/>
    </row>
    <row r="211">
      <c r="B211" s="105"/>
      <c r="C211" s="106"/>
      <c r="D211" s="107"/>
      <c r="E211" s="108"/>
      <c r="F211" s="109"/>
      <c r="G211" s="109"/>
      <c r="I211" s="110"/>
      <c r="K211" s="110"/>
      <c r="M211" s="110"/>
      <c r="O211" s="110"/>
      <c r="Q211" s="110"/>
      <c r="S211" s="110"/>
      <c r="T211" s="111"/>
      <c r="U211" s="111"/>
      <c r="W211" s="112"/>
      <c r="Y211" s="112"/>
      <c r="AA211" s="112"/>
      <c r="AC211" s="112"/>
      <c r="AE211" s="112"/>
      <c r="AG211" s="112"/>
      <c r="AI211" s="113"/>
      <c r="AJ211" s="114"/>
      <c r="AK211" s="113"/>
      <c r="AL211" s="114"/>
      <c r="AM211" s="113"/>
      <c r="AN211" s="114"/>
      <c r="AO211" s="115"/>
      <c r="AP211" s="114"/>
      <c r="AQ211" s="115"/>
      <c r="AR211" s="114"/>
      <c r="AS211" s="115"/>
      <c r="AT211" s="114"/>
      <c r="AU211" s="114"/>
    </row>
    <row r="212">
      <c r="B212" s="105"/>
      <c r="C212" s="106"/>
      <c r="D212" s="107"/>
      <c r="E212" s="108"/>
      <c r="F212" s="109"/>
      <c r="G212" s="109"/>
      <c r="I212" s="110"/>
      <c r="K212" s="110"/>
      <c r="M212" s="110"/>
      <c r="O212" s="110"/>
      <c r="Q212" s="110"/>
      <c r="S212" s="110"/>
      <c r="T212" s="111"/>
      <c r="U212" s="111"/>
      <c r="W212" s="112"/>
      <c r="Y212" s="112"/>
      <c r="AA212" s="112"/>
      <c r="AC212" s="112"/>
      <c r="AE212" s="112"/>
      <c r="AG212" s="112"/>
      <c r="AI212" s="113"/>
      <c r="AJ212" s="114"/>
      <c r="AK212" s="113"/>
      <c r="AL212" s="114"/>
      <c r="AM212" s="113"/>
      <c r="AN212" s="114"/>
      <c r="AO212" s="115"/>
      <c r="AP212" s="114"/>
      <c r="AQ212" s="115"/>
      <c r="AR212" s="114"/>
      <c r="AS212" s="115"/>
      <c r="AT212" s="114"/>
      <c r="AU212" s="114"/>
    </row>
    <row r="213">
      <c r="B213" s="105"/>
      <c r="C213" s="106"/>
      <c r="D213" s="107"/>
      <c r="E213" s="108"/>
      <c r="F213" s="109"/>
      <c r="G213" s="109"/>
      <c r="I213" s="110"/>
      <c r="K213" s="110"/>
      <c r="M213" s="110"/>
      <c r="O213" s="110"/>
      <c r="Q213" s="110"/>
      <c r="S213" s="110"/>
      <c r="T213" s="111"/>
      <c r="U213" s="111"/>
      <c r="W213" s="112"/>
      <c r="Y213" s="112"/>
      <c r="AA213" s="112"/>
      <c r="AC213" s="112"/>
      <c r="AE213" s="112"/>
      <c r="AG213" s="112"/>
      <c r="AI213" s="113"/>
      <c r="AJ213" s="114"/>
      <c r="AK213" s="113"/>
      <c r="AL213" s="114"/>
      <c r="AM213" s="113"/>
      <c r="AN213" s="114"/>
      <c r="AO213" s="115"/>
      <c r="AP213" s="114"/>
      <c r="AQ213" s="115"/>
      <c r="AR213" s="114"/>
      <c r="AS213" s="115"/>
      <c r="AT213" s="114"/>
      <c r="AU213" s="114"/>
    </row>
    <row r="214">
      <c r="B214" s="105"/>
      <c r="C214" s="106"/>
      <c r="D214" s="107"/>
      <c r="E214" s="108"/>
      <c r="F214" s="109"/>
      <c r="G214" s="109"/>
      <c r="I214" s="110"/>
      <c r="K214" s="110"/>
      <c r="M214" s="110"/>
      <c r="O214" s="110"/>
      <c r="Q214" s="110"/>
      <c r="S214" s="110"/>
      <c r="T214" s="111"/>
      <c r="U214" s="111"/>
      <c r="W214" s="112"/>
      <c r="Y214" s="112"/>
      <c r="AA214" s="112"/>
      <c r="AC214" s="112"/>
      <c r="AE214" s="112"/>
      <c r="AG214" s="112"/>
      <c r="AI214" s="113"/>
      <c r="AJ214" s="114"/>
      <c r="AK214" s="113"/>
      <c r="AL214" s="114"/>
      <c r="AM214" s="113"/>
      <c r="AN214" s="114"/>
      <c r="AO214" s="115"/>
      <c r="AP214" s="114"/>
      <c r="AQ214" s="115"/>
      <c r="AR214" s="114"/>
      <c r="AS214" s="115"/>
      <c r="AT214" s="114"/>
      <c r="AU214" s="114"/>
    </row>
    <row r="215">
      <c r="B215" s="105"/>
      <c r="C215" s="106"/>
      <c r="D215" s="107"/>
      <c r="E215" s="108"/>
      <c r="F215" s="109"/>
      <c r="G215" s="109"/>
      <c r="I215" s="110"/>
      <c r="K215" s="110"/>
      <c r="M215" s="110"/>
      <c r="O215" s="110"/>
      <c r="Q215" s="110"/>
      <c r="S215" s="110"/>
      <c r="T215" s="111"/>
      <c r="U215" s="111"/>
      <c r="W215" s="112"/>
      <c r="Y215" s="112"/>
      <c r="AA215" s="112"/>
      <c r="AC215" s="112"/>
      <c r="AE215" s="112"/>
      <c r="AG215" s="112"/>
      <c r="AI215" s="113"/>
      <c r="AJ215" s="114"/>
      <c r="AK215" s="113"/>
      <c r="AL215" s="114"/>
      <c r="AM215" s="113"/>
      <c r="AN215" s="114"/>
      <c r="AO215" s="115"/>
      <c r="AP215" s="114"/>
      <c r="AQ215" s="115"/>
      <c r="AR215" s="114"/>
      <c r="AS215" s="115"/>
      <c r="AT215" s="114"/>
      <c r="AU215" s="114"/>
    </row>
    <row r="216">
      <c r="B216" s="105"/>
      <c r="C216" s="106"/>
      <c r="D216" s="107"/>
      <c r="E216" s="108"/>
      <c r="F216" s="109"/>
      <c r="G216" s="109"/>
      <c r="I216" s="110"/>
      <c r="K216" s="110"/>
      <c r="M216" s="110"/>
      <c r="O216" s="110"/>
      <c r="Q216" s="110"/>
      <c r="S216" s="110"/>
      <c r="T216" s="111"/>
      <c r="U216" s="111"/>
      <c r="W216" s="112"/>
      <c r="Y216" s="112"/>
      <c r="AA216" s="112"/>
      <c r="AC216" s="112"/>
      <c r="AE216" s="112"/>
      <c r="AG216" s="112"/>
      <c r="AI216" s="113"/>
      <c r="AJ216" s="114"/>
      <c r="AK216" s="113"/>
      <c r="AL216" s="114"/>
      <c r="AM216" s="113"/>
      <c r="AN216" s="114"/>
      <c r="AO216" s="115"/>
      <c r="AP216" s="114"/>
      <c r="AQ216" s="115"/>
      <c r="AR216" s="114"/>
      <c r="AS216" s="115"/>
      <c r="AT216" s="114"/>
      <c r="AU216" s="114"/>
    </row>
    <row r="217">
      <c r="B217" s="105"/>
      <c r="C217" s="106"/>
      <c r="D217" s="107"/>
      <c r="E217" s="108"/>
      <c r="F217" s="109"/>
      <c r="G217" s="109"/>
      <c r="I217" s="110"/>
      <c r="K217" s="110"/>
      <c r="M217" s="110"/>
      <c r="O217" s="110"/>
      <c r="Q217" s="110"/>
      <c r="S217" s="110"/>
      <c r="T217" s="111"/>
      <c r="U217" s="111"/>
      <c r="W217" s="112"/>
      <c r="Y217" s="112"/>
      <c r="AA217" s="112"/>
      <c r="AC217" s="112"/>
      <c r="AE217" s="112"/>
      <c r="AG217" s="112"/>
      <c r="AI217" s="113"/>
      <c r="AJ217" s="114"/>
      <c r="AK217" s="113"/>
      <c r="AL217" s="114"/>
      <c r="AM217" s="113"/>
      <c r="AN217" s="114"/>
      <c r="AO217" s="115"/>
      <c r="AP217" s="114"/>
      <c r="AQ217" s="115"/>
      <c r="AR217" s="114"/>
      <c r="AS217" s="115"/>
      <c r="AT217" s="114"/>
      <c r="AU217" s="114"/>
    </row>
    <row r="218">
      <c r="B218" s="105"/>
      <c r="C218" s="106"/>
      <c r="D218" s="107"/>
      <c r="E218" s="108"/>
      <c r="F218" s="109"/>
      <c r="G218" s="109"/>
      <c r="I218" s="110"/>
      <c r="K218" s="110"/>
      <c r="M218" s="110"/>
      <c r="O218" s="110"/>
      <c r="Q218" s="110"/>
      <c r="S218" s="110"/>
      <c r="T218" s="111"/>
      <c r="U218" s="111"/>
      <c r="W218" s="112"/>
      <c r="Y218" s="112"/>
      <c r="AA218" s="112"/>
      <c r="AC218" s="112"/>
      <c r="AE218" s="112"/>
      <c r="AG218" s="112"/>
      <c r="AI218" s="113"/>
      <c r="AJ218" s="114"/>
      <c r="AK218" s="113"/>
      <c r="AL218" s="114"/>
      <c r="AM218" s="113"/>
      <c r="AN218" s="114"/>
      <c r="AO218" s="115"/>
      <c r="AP218" s="114"/>
      <c r="AQ218" s="115"/>
      <c r="AR218" s="114"/>
      <c r="AS218" s="115"/>
      <c r="AT218" s="114"/>
      <c r="AU218" s="114"/>
    </row>
    <row r="219">
      <c r="B219" s="105"/>
      <c r="C219" s="106"/>
      <c r="D219" s="107"/>
      <c r="E219" s="108"/>
      <c r="F219" s="109"/>
      <c r="G219" s="109"/>
      <c r="I219" s="110"/>
      <c r="K219" s="110"/>
      <c r="M219" s="110"/>
      <c r="O219" s="110"/>
      <c r="Q219" s="110"/>
      <c r="S219" s="110"/>
      <c r="T219" s="111"/>
      <c r="U219" s="111"/>
      <c r="W219" s="112"/>
      <c r="Y219" s="112"/>
      <c r="AA219" s="112"/>
      <c r="AC219" s="112"/>
      <c r="AE219" s="112"/>
      <c r="AG219" s="112"/>
      <c r="AI219" s="113"/>
      <c r="AJ219" s="114"/>
      <c r="AK219" s="113"/>
      <c r="AL219" s="114"/>
      <c r="AM219" s="113"/>
      <c r="AN219" s="114"/>
      <c r="AO219" s="115"/>
      <c r="AP219" s="114"/>
      <c r="AQ219" s="115"/>
      <c r="AR219" s="114"/>
      <c r="AS219" s="115"/>
      <c r="AT219" s="114"/>
      <c r="AU219" s="114"/>
    </row>
    <row r="220">
      <c r="B220" s="105"/>
      <c r="C220" s="106"/>
      <c r="D220" s="107"/>
      <c r="E220" s="108"/>
      <c r="F220" s="109"/>
      <c r="G220" s="109"/>
      <c r="I220" s="110"/>
      <c r="K220" s="110"/>
      <c r="M220" s="110"/>
      <c r="O220" s="110"/>
      <c r="Q220" s="110"/>
      <c r="S220" s="110"/>
      <c r="T220" s="111"/>
      <c r="U220" s="111"/>
      <c r="W220" s="112"/>
      <c r="Y220" s="112"/>
      <c r="AA220" s="112"/>
      <c r="AC220" s="112"/>
      <c r="AE220" s="112"/>
      <c r="AG220" s="112"/>
      <c r="AI220" s="113"/>
      <c r="AJ220" s="114"/>
      <c r="AK220" s="113"/>
      <c r="AL220" s="114"/>
      <c r="AM220" s="113"/>
      <c r="AN220" s="114"/>
      <c r="AO220" s="115"/>
      <c r="AP220" s="114"/>
      <c r="AQ220" s="115"/>
      <c r="AR220" s="114"/>
      <c r="AS220" s="115"/>
      <c r="AT220" s="114"/>
      <c r="AU220" s="114"/>
    </row>
    <row r="221">
      <c r="B221" s="105"/>
      <c r="C221" s="106"/>
      <c r="D221" s="107"/>
      <c r="E221" s="108"/>
      <c r="F221" s="109"/>
      <c r="G221" s="109"/>
      <c r="I221" s="110"/>
      <c r="K221" s="110"/>
      <c r="M221" s="110"/>
      <c r="O221" s="110"/>
      <c r="Q221" s="110"/>
      <c r="S221" s="110"/>
      <c r="T221" s="111"/>
      <c r="U221" s="111"/>
      <c r="W221" s="112"/>
      <c r="Y221" s="112"/>
      <c r="AA221" s="112"/>
      <c r="AC221" s="112"/>
      <c r="AE221" s="112"/>
      <c r="AG221" s="112"/>
      <c r="AI221" s="113"/>
      <c r="AJ221" s="114"/>
      <c r="AK221" s="113"/>
      <c r="AL221" s="114"/>
      <c r="AM221" s="113"/>
      <c r="AN221" s="114"/>
      <c r="AO221" s="115"/>
      <c r="AP221" s="114"/>
      <c r="AQ221" s="115"/>
      <c r="AR221" s="114"/>
      <c r="AS221" s="115"/>
      <c r="AT221" s="114"/>
      <c r="AU221" s="114"/>
    </row>
    <row r="222">
      <c r="B222" s="105"/>
      <c r="C222" s="106"/>
      <c r="D222" s="107"/>
      <c r="E222" s="108"/>
      <c r="F222" s="109"/>
      <c r="G222" s="109"/>
      <c r="I222" s="110"/>
      <c r="K222" s="110"/>
      <c r="M222" s="110"/>
      <c r="O222" s="110"/>
      <c r="Q222" s="110"/>
      <c r="S222" s="110"/>
      <c r="T222" s="111"/>
      <c r="U222" s="111"/>
      <c r="W222" s="112"/>
      <c r="Y222" s="112"/>
      <c r="AA222" s="112"/>
      <c r="AC222" s="112"/>
      <c r="AE222" s="112"/>
      <c r="AG222" s="112"/>
      <c r="AI222" s="113"/>
      <c r="AJ222" s="114"/>
      <c r="AK222" s="113"/>
      <c r="AL222" s="114"/>
      <c r="AM222" s="113"/>
      <c r="AN222" s="114"/>
      <c r="AO222" s="115"/>
      <c r="AP222" s="114"/>
      <c r="AQ222" s="115"/>
      <c r="AR222" s="114"/>
      <c r="AS222" s="115"/>
      <c r="AT222" s="114"/>
      <c r="AU222" s="114"/>
    </row>
    <row r="223">
      <c r="B223" s="105"/>
      <c r="C223" s="106"/>
      <c r="D223" s="107"/>
      <c r="E223" s="108"/>
      <c r="F223" s="109"/>
      <c r="G223" s="109"/>
      <c r="I223" s="110"/>
      <c r="K223" s="110"/>
      <c r="M223" s="110"/>
      <c r="O223" s="110"/>
      <c r="Q223" s="110"/>
      <c r="S223" s="110"/>
      <c r="T223" s="111"/>
      <c r="U223" s="111"/>
      <c r="W223" s="112"/>
      <c r="Y223" s="112"/>
      <c r="AA223" s="112"/>
      <c r="AC223" s="112"/>
      <c r="AE223" s="112"/>
      <c r="AG223" s="112"/>
      <c r="AI223" s="113"/>
      <c r="AJ223" s="114"/>
      <c r="AK223" s="113"/>
      <c r="AL223" s="114"/>
      <c r="AM223" s="113"/>
      <c r="AN223" s="114"/>
      <c r="AO223" s="115"/>
      <c r="AP223" s="114"/>
      <c r="AQ223" s="115"/>
      <c r="AR223" s="114"/>
      <c r="AS223" s="115"/>
      <c r="AT223" s="114"/>
      <c r="AU223" s="114"/>
    </row>
    <row r="224">
      <c r="B224" s="105"/>
      <c r="C224" s="106"/>
      <c r="D224" s="107"/>
      <c r="E224" s="108"/>
      <c r="F224" s="109"/>
      <c r="G224" s="109"/>
      <c r="I224" s="110"/>
      <c r="K224" s="110"/>
      <c r="M224" s="110"/>
      <c r="O224" s="110"/>
      <c r="Q224" s="110"/>
      <c r="S224" s="110"/>
      <c r="T224" s="111"/>
      <c r="U224" s="111"/>
      <c r="W224" s="112"/>
      <c r="Y224" s="112"/>
      <c r="AA224" s="112"/>
      <c r="AC224" s="112"/>
      <c r="AE224" s="112"/>
      <c r="AG224" s="112"/>
      <c r="AI224" s="113"/>
      <c r="AJ224" s="114"/>
      <c r="AK224" s="113"/>
      <c r="AL224" s="114"/>
      <c r="AM224" s="113"/>
      <c r="AN224" s="114"/>
      <c r="AO224" s="115"/>
      <c r="AP224" s="114"/>
      <c r="AQ224" s="115"/>
      <c r="AR224" s="114"/>
      <c r="AS224" s="115"/>
      <c r="AT224" s="114"/>
      <c r="AU224" s="114"/>
    </row>
    <row r="225">
      <c r="B225" s="105"/>
      <c r="C225" s="106"/>
      <c r="D225" s="107"/>
      <c r="E225" s="108"/>
      <c r="F225" s="109"/>
      <c r="G225" s="109"/>
      <c r="I225" s="110"/>
      <c r="K225" s="110"/>
      <c r="M225" s="110"/>
      <c r="O225" s="110"/>
      <c r="Q225" s="110"/>
      <c r="S225" s="110"/>
      <c r="T225" s="111"/>
      <c r="U225" s="111"/>
      <c r="W225" s="112"/>
      <c r="Y225" s="112"/>
      <c r="AA225" s="112"/>
      <c r="AC225" s="112"/>
      <c r="AE225" s="112"/>
      <c r="AG225" s="112"/>
      <c r="AI225" s="113"/>
      <c r="AJ225" s="114"/>
      <c r="AK225" s="113"/>
      <c r="AL225" s="114"/>
      <c r="AM225" s="113"/>
      <c r="AN225" s="114"/>
      <c r="AO225" s="115"/>
      <c r="AP225" s="114"/>
      <c r="AQ225" s="115"/>
      <c r="AR225" s="114"/>
      <c r="AS225" s="115"/>
      <c r="AT225" s="114"/>
      <c r="AU225" s="114"/>
    </row>
    <row r="226">
      <c r="B226" s="105"/>
      <c r="C226" s="106"/>
      <c r="D226" s="107"/>
      <c r="E226" s="108"/>
      <c r="F226" s="109"/>
      <c r="G226" s="109"/>
      <c r="I226" s="110"/>
      <c r="K226" s="110"/>
      <c r="M226" s="110"/>
      <c r="O226" s="110"/>
      <c r="Q226" s="110"/>
      <c r="S226" s="110"/>
      <c r="T226" s="111"/>
      <c r="U226" s="111"/>
      <c r="W226" s="112"/>
      <c r="Y226" s="112"/>
      <c r="AA226" s="112"/>
      <c r="AC226" s="112"/>
      <c r="AE226" s="112"/>
      <c r="AG226" s="112"/>
      <c r="AI226" s="113"/>
      <c r="AJ226" s="114"/>
      <c r="AK226" s="113"/>
      <c r="AL226" s="114"/>
      <c r="AM226" s="113"/>
      <c r="AN226" s="114"/>
      <c r="AO226" s="115"/>
      <c r="AP226" s="114"/>
      <c r="AQ226" s="115"/>
      <c r="AR226" s="114"/>
      <c r="AS226" s="115"/>
      <c r="AT226" s="114"/>
      <c r="AU226" s="114"/>
    </row>
    <row r="227">
      <c r="B227" s="105"/>
      <c r="C227" s="106"/>
      <c r="D227" s="107"/>
      <c r="E227" s="108"/>
      <c r="F227" s="109"/>
      <c r="G227" s="109"/>
      <c r="I227" s="110"/>
      <c r="K227" s="110"/>
      <c r="M227" s="110"/>
      <c r="O227" s="110"/>
      <c r="Q227" s="110"/>
      <c r="S227" s="110"/>
      <c r="T227" s="111"/>
      <c r="U227" s="111"/>
      <c r="W227" s="112"/>
      <c r="Y227" s="112"/>
      <c r="AA227" s="112"/>
      <c r="AC227" s="112"/>
      <c r="AE227" s="112"/>
      <c r="AG227" s="112"/>
      <c r="AI227" s="113"/>
      <c r="AJ227" s="114"/>
      <c r="AK227" s="113"/>
      <c r="AL227" s="114"/>
      <c r="AM227" s="113"/>
      <c r="AN227" s="114"/>
      <c r="AO227" s="115"/>
      <c r="AP227" s="114"/>
      <c r="AQ227" s="115"/>
      <c r="AR227" s="114"/>
      <c r="AS227" s="115"/>
      <c r="AT227" s="114"/>
      <c r="AU227" s="114"/>
    </row>
    <row r="228">
      <c r="B228" s="105"/>
      <c r="C228" s="106"/>
      <c r="D228" s="107"/>
      <c r="E228" s="108"/>
      <c r="F228" s="109"/>
      <c r="G228" s="109"/>
      <c r="I228" s="110"/>
      <c r="K228" s="110"/>
      <c r="M228" s="110"/>
      <c r="O228" s="110"/>
      <c r="Q228" s="110"/>
      <c r="S228" s="110"/>
      <c r="T228" s="111"/>
      <c r="U228" s="111"/>
      <c r="W228" s="112"/>
      <c r="Y228" s="112"/>
      <c r="AA228" s="112"/>
      <c r="AC228" s="112"/>
      <c r="AE228" s="112"/>
      <c r="AG228" s="112"/>
      <c r="AI228" s="113"/>
      <c r="AJ228" s="114"/>
      <c r="AK228" s="113"/>
      <c r="AL228" s="114"/>
      <c r="AM228" s="113"/>
      <c r="AN228" s="114"/>
      <c r="AO228" s="115"/>
      <c r="AP228" s="114"/>
      <c r="AQ228" s="115"/>
      <c r="AR228" s="114"/>
      <c r="AS228" s="115"/>
      <c r="AT228" s="114"/>
      <c r="AU228" s="114"/>
    </row>
    <row r="229">
      <c r="B229" s="105"/>
      <c r="C229" s="106"/>
      <c r="D229" s="107"/>
      <c r="E229" s="108"/>
      <c r="F229" s="109"/>
      <c r="G229" s="109"/>
      <c r="I229" s="110"/>
      <c r="K229" s="110"/>
      <c r="M229" s="110"/>
      <c r="O229" s="110"/>
      <c r="Q229" s="110"/>
      <c r="S229" s="110"/>
      <c r="T229" s="111"/>
      <c r="U229" s="111"/>
      <c r="W229" s="112"/>
      <c r="Y229" s="112"/>
      <c r="AA229" s="112"/>
      <c r="AC229" s="112"/>
      <c r="AE229" s="112"/>
      <c r="AG229" s="112"/>
      <c r="AI229" s="113"/>
      <c r="AJ229" s="114"/>
      <c r="AK229" s="113"/>
      <c r="AL229" s="114"/>
      <c r="AM229" s="113"/>
      <c r="AN229" s="114"/>
      <c r="AO229" s="115"/>
      <c r="AP229" s="114"/>
      <c r="AQ229" s="115"/>
      <c r="AR229" s="114"/>
      <c r="AS229" s="115"/>
      <c r="AT229" s="114"/>
      <c r="AU229" s="114"/>
    </row>
    <row r="230">
      <c r="B230" s="105"/>
      <c r="C230" s="106"/>
      <c r="D230" s="107"/>
      <c r="E230" s="108"/>
      <c r="F230" s="109"/>
      <c r="G230" s="109"/>
      <c r="I230" s="110"/>
      <c r="K230" s="110"/>
      <c r="M230" s="110"/>
      <c r="O230" s="110"/>
      <c r="Q230" s="110"/>
      <c r="S230" s="110"/>
      <c r="T230" s="111"/>
      <c r="U230" s="111"/>
      <c r="W230" s="112"/>
      <c r="Y230" s="112"/>
      <c r="AA230" s="112"/>
      <c r="AC230" s="112"/>
      <c r="AE230" s="112"/>
      <c r="AG230" s="112"/>
      <c r="AI230" s="113"/>
      <c r="AJ230" s="114"/>
      <c r="AK230" s="113"/>
      <c r="AL230" s="114"/>
      <c r="AM230" s="113"/>
      <c r="AN230" s="114"/>
      <c r="AO230" s="115"/>
      <c r="AP230" s="114"/>
      <c r="AQ230" s="115"/>
      <c r="AR230" s="114"/>
      <c r="AS230" s="115"/>
      <c r="AT230" s="114"/>
      <c r="AU230" s="114"/>
    </row>
    <row r="231">
      <c r="B231" s="105"/>
      <c r="C231" s="106"/>
      <c r="D231" s="107"/>
      <c r="E231" s="108"/>
      <c r="F231" s="109"/>
      <c r="G231" s="109"/>
      <c r="I231" s="110"/>
      <c r="K231" s="110"/>
      <c r="M231" s="110"/>
      <c r="O231" s="110"/>
      <c r="Q231" s="110"/>
      <c r="S231" s="110"/>
      <c r="T231" s="111"/>
      <c r="U231" s="111"/>
      <c r="W231" s="112"/>
      <c r="Y231" s="112"/>
      <c r="AA231" s="112"/>
      <c r="AC231" s="112"/>
      <c r="AE231" s="112"/>
      <c r="AG231" s="112"/>
      <c r="AI231" s="113"/>
      <c r="AJ231" s="114"/>
      <c r="AK231" s="113"/>
      <c r="AL231" s="114"/>
      <c r="AM231" s="113"/>
      <c r="AN231" s="114"/>
      <c r="AO231" s="115"/>
      <c r="AP231" s="114"/>
      <c r="AQ231" s="115"/>
      <c r="AR231" s="114"/>
      <c r="AS231" s="115"/>
      <c r="AT231" s="114"/>
      <c r="AU231" s="114"/>
    </row>
    <row r="232">
      <c r="B232" s="105"/>
      <c r="C232" s="106"/>
      <c r="D232" s="107"/>
      <c r="E232" s="108"/>
      <c r="F232" s="109"/>
      <c r="G232" s="109"/>
      <c r="I232" s="110"/>
      <c r="K232" s="110"/>
      <c r="M232" s="110"/>
      <c r="O232" s="110"/>
      <c r="Q232" s="110"/>
      <c r="S232" s="110"/>
      <c r="T232" s="111"/>
      <c r="U232" s="111"/>
      <c r="W232" s="112"/>
      <c r="Y232" s="112"/>
      <c r="AA232" s="112"/>
      <c r="AC232" s="112"/>
      <c r="AE232" s="112"/>
      <c r="AG232" s="112"/>
      <c r="AI232" s="113"/>
      <c r="AJ232" s="114"/>
      <c r="AK232" s="113"/>
      <c r="AL232" s="114"/>
      <c r="AM232" s="113"/>
      <c r="AN232" s="114"/>
      <c r="AO232" s="115"/>
      <c r="AP232" s="114"/>
      <c r="AQ232" s="115"/>
      <c r="AR232" s="114"/>
      <c r="AS232" s="115"/>
      <c r="AT232" s="114"/>
      <c r="AU232" s="114"/>
    </row>
    <row r="233">
      <c r="B233" s="105"/>
      <c r="C233" s="106"/>
      <c r="D233" s="107"/>
      <c r="E233" s="108"/>
      <c r="F233" s="109"/>
      <c r="G233" s="109"/>
      <c r="I233" s="110"/>
      <c r="K233" s="110"/>
      <c r="M233" s="110"/>
      <c r="O233" s="110"/>
      <c r="Q233" s="110"/>
      <c r="S233" s="110"/>
      <c r="T233" s="111"/>
      <c r="U233" s="111"/>
      <c r="W233" s="112"/>
      <c r="Y233" s="112"/>
      <c r="AA233" s="112"/>
      <c r="AC233" s="112"/>
      <c r="AE233" s="112"/>
      <c r="AG233" s="112"/>
      <c r="AI233" s="113"/>
      <c r="AJ233" s="114"/>
      <c r="AK233" s="113"/>
      <c r="AL233" s="114"/>
      <c r="AM233" s="113"/>
      <c r="AN233" s="114"/>
      <c r="AO233" s="115"/>
      <c r="AP233" s="114"/>
      <c r="AQ233" s="115"/>
      <c r="AR233" s="114"/>
      <c r="AS233" s="115"/>
      <c r="AT233" s="114"/>
      <c r="AU233" s="114"/>
    </row>
    <row r="234">
      <c r="B234" s="105"/>
      <c r="C234" s="106"/>
      <c r="D234" s="107"/>
      <c r="E234" s="108"/>
      <c r="F234" s="109"/>
      <c r="G234" s="109"/>
      <c r="I234" s="110"/>
      <c r="K234" s="110"/>
      <c r="M234" s="110"/>
      <c r="O234" s="110"/>
      <c r="Q234" s="110"/>
      <c r="S234" s="110"/>
      <c r="T234" s="111"/>
      <c r="U234" s="111"/>
      <c r="W234" s="112"/>
      <c r="Y234" s="112"/>
      <c r="AA234" s="112"/>
      <c r="AC234" s="112"/>
      <c r="AE234" s="112"/>
      <c r="AG234" s="112"/>
      <c r="AI234" s="113"/>
      <c r="AJ234" s="114"/>
      <c r="AK234" s="113"/>
      <c r="AL234" s="114"/>
      <c r="AM234" s="113"/>
      <c r="AN234" s="114"/>
      <c r="AO234" s="115"/>
      <c r="AP234" s="114"/>
      <c r="AQ234" s="115"/>
      <c r="AR234" s="114"/>
      <c r="AS234" s="115"/>
      <c r="AT234" s="114"/>
      <c r="AU234" s="114"/>
    </row>
    <row r="235">
      <c r="B235" s="105"/>
      <c r="C235" s="106"/>
      <c r="D235" s="107"/>
      <c r="E235" s="108"/>
      <c r="F235" s="109"/>
      <c r="G235" s="109"/>
      <c r="I235" s="110"/>
      <c r="K235" s="110"/>
      <c r="M235" s="110"/>
      <c r="O235" s="110"/>
      <c r="Q235" s="110"/>
      <c r="S235" s="110"/>
      <c r="T235" s="111"/>
      <c r="U235" s="111"/>
      <c r="W235" s="112"/>
      <c r="Y235" s="112"/>
      <c r="AA235" s="112"/>
      <c r="AC235" s="112"/>
      <c r="AE235" s="112"/>
      <c r="AG235" s="112"/>
      <c r="AI235" s="113"/>
      <c r="AJ235" s="114"/>
      <c r="AK235" s="113"/>
      <c r="AL235" s="114"/>
      <c r="AM235" s="113"/>
      <c r="AN235" s="114"/>
      <c r="AO235" s="115"/>
      <c r="AP235" s="114"/>
      <c r="AQ235" s="115"/>
      <c r="AR235" s="114"/>
      <c r="AS235" s="115"/>
      <c r="AT235" s="114"/>
      <c r="AU235" s="114"/>
    </row>
    <row r="236">
      <c r="B236" s="105"/>
      <c r="C236" s="106"/>
      <c r="D236" s="107"/>
      <c r="E236" s="108"/>
      <c r="F236" s="109"/>
      <c r="G236" s="109"/>
      <c r="I236" s="110"/>
      <c r="K236" s="110"/>
      <c r="M236" s="110"/>
      <c r="O236" s="110"/>
      <c r="Q236" s="110"/>
      <c r="S236" s="110"/>
      <c r="T236" s="111"/>
      <c r="U236" s="111"/>
      <c r="W236" s="112"/>
      <c r="Y236" s="112"/>
      <c r="AA236" s="112"/>
      <c r="AC236" s="112"/>
      <c r="AE236" s="112"/>
      <c r="AG236" s="112"/>
      <c r="AI236" s="113"/>
      <c r="AJ236" s="114"/>
      <c r="AK236" s="113"/>
      <c r="AL236" s="114"/>
      <c r="AM236" s="113"/>
      <c r="AN236" s="114"/>
      <c r="AO236" s="115"/>
      <c r="AP236" s="114"/>
      <c r="AQ236" s="115"/>
      <c r="AR236" s="114"/>
      <c r="AS236" s="115"/>
      <c r="AT236" s="114"/>
      <c r="AU236" s="114"/>
    </row>
    <row r="237">
      <c r="B237" s="105"/>
      <c r="C237" s="106"/>
      <c r="D237" s="107"/>
      <c r="E237" s="108"/>
      <c r="F237" s="109"/>
      <c r="G237" s="109"/>
      <c r="I237" s="110"/>
      <c r="K237" s="110"/>
      <c r="M237" s="110"/>
      <c r="O237" s="110"/>
      <c r="Q237" s="110"/>
      <c r="S237" s="110"/>
      <c r="T237" s="111"/>
      <c r="U237" s="111"/>
      <c r="W237" s="112"/>
      <c r="Y237" s="112"/>
      <c r="AA237" s="112"/>
      <c r="AC237" s="112"/>
      <c r="AE237" s="112"/>
      <c r="AG237" s="112"/>
      <c r="AI237" s="113"/>
      <c r="AJ237" s="114"/>
      <c r="AK237" s="113"/>
      <c r="AL237" s="114"/>
      <c r="AM237" s="113"/>
      <c r="AN237" s="114"/>
      <c r="AO237" s="115"/>
      <c r="AP237" s="114"/>
      <c r="AQ237" s="115"/>
      <c r="AR237" s="114"/>
      <c r="AS237" s="115"/>
      <c r="AT237" s="114"/>
      <c r="AU237" s="114"/>
    </row>
    <row r="238">
      <c r="B238" s="105"/>
      <c r="C238" s="106"/>
      <c r="D238" s="107"/>
      <c r="E238" s="108"/>
      <c r="F238" s="109"/>
      <c r="G238" s="109"/>
      <c r="I238" s="110"/>
      <c r="K238" s="110"/>
      <c r="M238" s="110"/>
      <c r="O238" s="110"/>
      <c r="Q238" s="110"/>
      <c r="S238" s="110"/>
      <c r="T238" s="111"/>
      <c r="U238" s="111"/>
      <c r="W238" s="112"/>
      <c r="Y238" s="112"/>
      <c r="AA238" s="112"/>
      <c r="AC238" s="112"/>
      <c r="AE238" s="112"/>
      <c r="AG238" s="112"/>
      <c r="AI238" s="113"/>
      <c r="AJ238" s="114"/>
      <c r="AK238" s="113"/>
      <c r="AL238" s="114"/>
      <c r="AM238" s="113"/>
      <c r="AN238" s="114"/>
      <c r="AO238" s="115"/>
      <c r="AP238" s="114"/>
      <c r="AQ238" s="115"/>
      <c r="AR238" s="114"/>
      <c r="AS238" s="115"/>
      <c r="AT238" s="114"/>
      <c r="AU238" s="114"/>
    </row>
    <row r="239">
      <c r="B239" s="105"/>
      <c r="C239" s="106"/>
      <c r="D239" s="107"/>
      <c r="E239" s="108"/>
      <c r="F239" s="109"/>
      <c r="G239" s="109"/>
      <c r="I239" s="110"/>
      <c r="K239" s="110"/>
      <c r="M239" s="110"/>
      <c r="O239" s="110"/>
      <c r="Q239" s="110"/>
      <c r="S239" s="110"/>
      <c r="T239" s="111"/>
      <c r="U239" s="111"/>
      <c r="W239" s="112"/>
      <c r="Y239" s="112"/>
      <c r="AA239" s="112"/>
      <c r="AC239" s="112"/>
      <c r="AE239" s="112"/>
      <c r="AG239" s="112"/>
      <c r="AI239" s="113"/>
      <c r="AJ239" s="114"/>
      <c r="AK239" s="113"/>
      <c r="AL239" s="114"/>
      <c r="AM239" s="113"/>
      <c r="AN239" s="114"/>
      <c r="AO239" s="115"/>
      <c r="AP239" s="114"/>
      <c r="AQ239" s="115"/>
      <c r="AR239" s="114"/>
      <c r="AS239" s="115"/>
      <c r="AT239" s="114"/>
      <c r="AU239" s="114"/>
    </row>
    <row r="240">
      <c r="B240" s="105"/>
      <c r="C240" s="106"/>
      <c r="D240" s="107"/>
      <c r="E240" s="108"/>
      <c r="F240" s="109"/>
      <c r="G240" s="109"/>
      <c r="I240" s="110"/>
      <c r="K240" s="110"/>
      <c r="M240" s="110"/>
      <c r="O240" s="110"/>
      <c r="Q240" s="110"/>
      <c r="S240" s="110"/>
      <c r="T240" s="111"/>
      <c r="U240" s="111"/>
      <c r="W240" s="112"/>
      <c r="Y240" s="112"/>
      <c r="AA240" s="112"/>
      <c r="AC240" s="112"/>
      <c r="AE240" s="112"/>
      <c r="AG240" s="112"/>
      <c r="AI240" s="113"/>
      <c r="AJ240" s="114"/>
      <c r="AK240" s="113"/>
      <c r="AL240" s="114"/>
      <c r="AM240" s="113"/>
      <c r="AN240" s="114"/>
      <c r="AO240" s="115"/>
      <c r="AP240" s="114"/>
      <c r="AQ240" s="115"/>
      <c r="AR240" s="114"/>
      <c r="AS240" s="115"/>
      <c r="AT240" s="114"/>
      <c r="AU240" s="114"/>
    </row>
    <row r="241">
      <c r="B241" s="105"/>
      <c r="C241" s="106"/>
      <c r="D241" s="107"/>
      <c r="E241" s="108"/>
      <c r="F241" s="109"/>
      <c r="G241" s="109"/>
      <c r="I241" s="110"/>
      <c r="K241" s="110"/>
      <c r="M241" s="110"/>
      <c r="O241" s="110"/>
      <c r="Q241" s="110"/>
      <c r="S241" s="110"/>
      <c r="T241" s="111"/>
      <c r="U241" s="111"/>
      <c r="W241" s="112"/>
      <c r="Y241" s="112"/>
      <c r="AA241" s="112"/>
      <c r="AC241" s="112"/>
      <c r="AE241" s="112"/>
      <c r="AG241" s="112"/>
      <c r="AI241" s="113"/>
      <c r="AJ241" s="114"/>
      <c r="AK241" s="113"/>
      <c r="AL241" s="114"/>
      <c r="AM241" s="113"/>
      <c r="AN241" s="114"/>
      <c r="AO241" s="115"/>
      <c r="AP241" s="114"/>
      <c r="AQ241" s="115"/>
      <c r="AR241" s="114"/>
      <c r="AS241" s="115"/>
      <c r="AT241" s="114"/>
      <c r="AU241" s="114"/>
    </row>
    <row r="242">
      <c r="B242" s="105"/>
      <c r="C242" s="106"/>
      <c r="D242" s="107"/>
      <c r="E242" s="108"/>
      <c r="F242" s="109"/>
      <c r="G242" s="109"/>
      <c r="I242" s="110"/>
      <c r="K242" s="110"/>
      <c r="M242" s="110"/>
      <c r="O242" s="110"/>
      <c r="Q242" s="110"/>
      <c r="S242" s="110"/>
      <c r="T242" s="111"/>
      <c r="U242" s="111"/>
      <c r="W242" s="112"/>
      <c r="Y242" s="112"/>
      <c r="AA242" s="112"/>
      <c r="AC242" s="112"/>
      <c r="AE242" s="112"/>
      <c r="AG242" s="112"/>
      <c r="AI242" s="113"/>
      <c r="AJ242" s="114"/>
      <c r="AK242" s="113"/>
      <c r="AL242" s="114"/>
      <c r="AM242" s="113"/>
      <c r="AN242" s="114"/>
      <c r="AO242" s="115"/>
      <c r="AP242" s="114"/>
      <c r="AQ242" s="115"/>
      <c r="AR242" s="114"/>
      <c r="AS242" s="115"/>
      <c r="AT242" s="114"/>
      <c r="AU242" s="114"/>
    </row>
    <row r="243">
      <c r="B243" s="105"/>
      <c r="C243" s="106"/>
      <c r="D243" s="107"/>
      <c r="E243" s="108"/>
      <c r="F243" s="109"/>
      <c r="G243" s="109"/>
      <c r="I243" s="110"/>
      <c r="K243" s="110"/>
      <c r="M243" s="110"/>
      <c r="O243" s="110"/>
      <c r="Q243" s="110"/>
      <c r="S243" s="110"/>
      <c r="T243" s="111"/>
      <c r="U243" s="111"/>
      <c r="W243" s="112"/>
      <c r="Y243" s="112"/>
      <c r="AA243" s="112"/>
      <c r="AC243" s="112"/>
      <c r="AE243" s="112"/>
      <c r="AG243" s="112"/>
      <c r="AI243" s="113"/>
      <c r="AJ243" s="114"/>
      <c r="AK243" s="113"/>
      <c r="AL243" s="114"/>
      <c r="AM243" s="113"/>
      <c r="AN243" s="114"/>
      <c r="AO243" s="115"/>
      <c r="AP243" s="114"/>
      <c r="AQ243" s="115"/>
      <c r="AR243" s="114"/>
      <c r="AS243" s="115"/>
      <c r="AT243" s="114"/>
      <c r="AU243" s="114"/>
    </row>
    <row r="244">
      <c r="B244" s="105"/>
      <c r="C244" s="106"/>
      <c r="D244" s="107"/>
      <c r="E244" s="108"/>
      <c r="F244" s="109"/>
      <c r="G244" s="109"/>
      <c r="I244" s="110"/>
      <c r="K244" s="110"/>
      <c r="M244" s="110"/>
      <c r="O244" s="110"/>
      <c r="Q244" s="110"/>
      <c r="S244" s="110"/>
      <c r="T244" s="111"/>
      <c r="U244" s="111"/>
      <c r="W244" s="112"/>
      <c r="Y244" s="112"/>
      <c r="AA244" s="112"/>
      <c r="AC244" s="112"/>
      <c r="AE244" s="112"/>
      <c r="AG244" s="112"/>
      <c r="AI244" s="113"/>
      <c r="AJ244" s="114"/>
      <c r="AK244" s="113"/>
      <c r="AL244" s="114"/>
      <c r="AM244" s="113"/>
      <c r="AN244" s="114"/>
      <c r="AO244" s="115"/>
      <c r="AP244" s="114"/>
      <c r="AQ244" s="115"/>
      <c r="AR244" s="114"/>
      <c r="AS244" s="115"/>
      <c r="AT244" s="114"/>
      <c r="AU244" s="114"/>
    </row>
    <row r="245">
      <c r="B245" s="105"/>
      <c r="C245" s="106"/>
      <c r="D245" s="107"/>
      <c r="E245" s="108"/>
      <c r="F245" s="109"/>
      <c r="G245" s="109"/>
      <c r="I245" s="110"/>
      <c r="K245" s="110"/>
      <c r="M245" s="110"/>
      <c r="O245" s="110"/>
      <c r="Q245" s="110"/>
      <c r="S245" s="110"/>
      <c r="T245" s="111"/>
      <c r="U245" s="111"/>
      <c r="W245" s="112"/>
      <c r="Y245" s="112"/>
      <c r="AA245" s="112"/>
      <c r="AC245" s="112"/>
      <c r="AE245" s="112"/>
      <c r="AG245" s="112"/>
      <c r="AI245" s="113"/>
      <c r="AJ245" s="114"/>
      <c r="AK245" s="113"/>
      <c r="AL245" s="114"/>
      <c r="AM245" s="113"/>
      <c r="AN245" s="114"/>
      <c r="AO245" s="115"/>
      <c r="AP245" s="114"/>
      <c r="AQ245" s="115"/>
      <c r="AR245" s="114"/>
      <c r="AS245" s="115"/>
      <c r="AT245" s="114"/>
      <c r="AU245" s="114"/>
    </row>
    <row r="246">
      <c r="B246" s="105"/>
      <c r="C246" s="106"/>
      <c r="D246" s="107"/>
      <c r="E246" s="108"/>
      <c r="F246" s="109"/>
      <c r="G246" s="109"/>
      <c r="I246" s="110"/>
      <c r="K246" s="110"/>
      <c r="M246" s="110"/>
      <c r="O246" s="110"/>
      <c r="Q246" s="110"/>
      <c r="S246" s="110"/>
      <c r="T246" s="111"/>
      <c r="U246" s="111"/>
      <c r="W246" s="112"/>
      <c r="Y246" s="112"/>
      <c r="AA246" s="112"/>
      <c r="AC246" s="112"/>
      <c r="AE246" s="112"/>
      <c r="AG246" s="112"/>
      <c r="AI246" s="113"/>
      <c r="AJ246" s="114"/>
      <c r="AK246" s="113"/>
      <c r="AL246" s="114"/>
      <c r="AM246" s="113"/>
      <c r="AN246" s="114"/>
      <c r="AO246" s="115"/>
      <c r="AP246" s="114"/>
      <c r="AQ246" s="115"/>
      <c r="AR246" s="114"/>
      <c r="AS246" s="115"/>
      <c r="AT246" s="114"/>
      <c r="AU246" s="114"/>
    </row>
    <row r="247">
      <c r="B247" s="105"/>
      <c r="C247" s="106"/>
      <c r="D247" s="107"/>
      <c r="E247" s="108"/>
      <c r="F247" s="109"/>
      <c r="G247" s="109"/>
      <c r="I247" s="110"/>
      <c r="K247" s="110"/>
      <c r="M247" s="110"/>
      <c r="O247" s="110"/>
      <c r="Q247" s="110"/>
      <c r="S247" s="110"/>
      <c r="T247" s="111"/>
      <c r="U247" s="111"/>
      <c r="W247" s="112"/>
      <c r="Y247" s="112"/>
      <c r="AA247" s="112"/>
      <c r="AC247" s="112"/>
      <c r="AE247" s="112"/>
      <c r="AG247" s="112"/>
      <c r="AI247" s="113"/>
      <c r="AJ247" s="114"/>
      <c r="AK247" s="113"/>
      <c r="AL247" s="114"/>
      <c r="AM247" s="113"/>
      <c r="AN247" s="114"/>
      <c r="AO247" s="115"/>
      <c r="AP247" s="114"/>
      <c r="AQ247" s="115"/>
      <c r="AR247" s="114"/>
      <c r="AS247" s="115"/>
      <c r="AT247" s="114"/>
      <c r="AU247" s="114"/>
    </row>
    <row r="248">
      <c r="B248" s="105"/>
      <c r="C248" s="106"/>
      <c r="D248" s="107"/>
      <c r="E248" s="108"/>
      <c r="F248" s="109"/>
      <c r="G248" s="109"/>
      <c r="I248" s="110"/>
      <c r="K248" s="110"/>
      <c r="M248" s="110"/>
      <c r="O248" s="110"/>
      <c r="Q248" s="110"/>
      <c r="S248" s="110"/>
      <c r="T248" s="111"/>
      <c r="U248" s="111"/>
      <c r="W248" s="112"/>
      <c r="Y248" s="112"/>
      <c r="AA248" s="112"/>
      <c r="AC248" s="112"/>
      <c r="AE248" s="112"/>
      <c r="AG248" s="112"/>
      <c r="AI248" s="113"/>
      <c r="AJ248" s="114"/>
      <c r="AK248" s="113"/>
      <c r="AL248" s="114"/>
      <c r="AM248" s="113"/>
      <c r="AN248" s="114"/>
      <c r="AO248" s="115"/>
      <c r="AP248" s="114"/>
      <c r="AQ248" s="115"/>
      <c r="AR248" s="114"/>
      <c r="AS248" s="115"/>
      <c r="AT248" s="114"/>
      <c r="AU248" s="114"/>
    </row>
    <row r="249">
      <c r="B249" s="105"/>
      <c r="C249" s="106"/>
      <c r="D249" s="107"/>
      <c r="E249" s="108"/>
      <c r="F249" s="109"/>
      <c r="G249" s="109"/>
      <c r="I249" s="110"/>
      <c r="K249" s="110"/>
      <c r="M249" s="110"/>
      <c r="O249" s="110"/>
      <c r="Q249" s="110"/>
      <c r="S249" s="110"/>
      <c r="T249" s="111"/>
      <c r="U249" s="111"/>
      <c r="W249" s="112"/>
      <c r="Y249" s="112"/>
      <c r="AA249" s="112"/>
      <c r="AC249" s="112"/>
      <c r="AE249" s="112"/>
      <c r="AG249" s="112"/>
      <c r="AI249" s="113"/>
      <c r="AJ249" s="114"/>
      <c r="AK249" s="113"/>
      <c r="AL249" s="114"/>
      <c r="AM249" s="113"/>
      <c r="AN249" s="114"/>
      <c r="AO249" s="115"/>
      <c r="AP249" s="114"/>
      <c r="AQ249" s="115"/>
      <c r="AR249" s="114"/>
      <c r="AS249" s="115"/>
      <c r="AT249" s="114"/>
      <c r="AU249" s="114"/>
    </row>
    <row r="250">
      <c r="B250" s="105"/>
      <c r="C250" s="106"/>
      <c r="D250" s="107"/>
      <c r="E250" s="108"/>
      <c r="F250" s="109"/>
      <c r="G250" s="109"/>
      <c r="I250" s="110"/>
      <c r="K250" s="110"/>
      <c r="M250" s="110"/>
      <c r="O250" s="110"/>
      <c r="Q250" s="110"/>
      <c r="S250" s="110"/>
      <c r="T250" s="111"/>
      <c r="U250" s="111"/>
      <c r="W250" s="112"/>
      <c r="Y250" s="112"/>
      <c r="AA250" s="112"/>
      <c r="AC250" s="112"/>
      <c r="AE250" s="112"/>
      <c r="AG250" s="112"/>
      <c r="AI250" s="113"/>
      <c r="AJ250" s="114"/>
      <c r="AK250" s="113"/>
      <c r="AL250" s="114"/>
      <c r="AM250" s="113"/>
      <c r="AN250" s="114"/>
      <c r="AO250" s="115"/>
      <c r="AP250" s="114"/>
      <c r="AQ250" s="115"/>
      <c r="AR250" s="114"/>
      <c r="AS250" s="115"/>
      <c r="AT250" s="114"/>
      <c r="AU250" s="114"/>
    </row>
    <row r="251">
      <c r="B251" s="105"/>
      <c r="C251" s="106"/>
      <c r="D251" s="107"/>
      <c r="E251" s="108"/>
      <c r="F251" s="109"/>
      <c r="G251" s="109"/>
      <c r="I251" s="110"/>
      <c r="K251" s="110"/>
      <c r="M251" s="110"/>
      <c r="O251" s="110"/>
      <c r="Q251" s="110"/>
      <c r="S251" s="110"/>
      <c r="T251" s="111"/>
      <c r="U251" s="111"/>
      <c r="W251" s="112"/>
      <c r="Y251" s="112"/>
      <c r="AA251" s="112"/>
      <c r="AC251" s="112"/>
      <c r="AE251" s="112"/>
      <c r="AG251" s="112"/>
      <c r="AI251" s="113"/>
      <c r="AJ251" s="114"/>
      <c r="AK251" s="113"/>
      <c r="AL251" s="114"/>
      <c r="AM251" s="113"/>
      <c r="AN251" s="114"/>
      <c r="AO251" s="115"/>
      <c r="AP251" s="114"/>
      <c r="AQ251" s="115"/>
      <c r="AR251" s="114"/>
      <c r="AS251" s="115"/>
      <c r="AT251" s="114"/>
      <c r="AU251" s="114"/>
    </row>
    <row r="252">
      <c r="B252" s="105"/>
      <c r="C252" s="106"/>
      <c r="D252" s="107"/>
      <c r="E252" s="108"/>
      <c r="F252" s="109"/>
      <c r="G252" s="109"/>
      <c r="I252" s="110"/>
      <c r="K252" s="110"/>
      <c r="M252" s="110"/>
      <c r="O252" s="110"/>
      <c r="Q252" s="110"/>
      <c r="S252" s="110"/>
      <c r="T252" s="111"/>
      <c r="U252" s="111"/>
      <c r="W252" s="112"/>
      <c r="Y252" s="112"/>
      <c r="AA252" s="112"/>
      <c r="AC252" s="112"/>
      <c r="AE252" s="112"/>
      <c r="AG252" s="112"/>
      <c r="AI252" s="113"/>
      <c r="AJ252" s="114"/>
      <c r="AK252" s="113"/>
      <c r="AL252" s="114"/>
      <c r="AM252" s="113"/>
      <c r="AN252" s="114"/>
      <c r="AO252" s="115"/>
      <c r="AP252" s="114"/>
      <c r="AQ252" s="115"/>
      <c r="AR252" s="114"/>
      <c r="AS252" s="115"/>
      <c r="AT252" s="114"/>
      <c r="AU252" s="114"/>
    </row>
    <row r="253">
      <c r="B253" s="105"/>
      <c r="C253" s="106"/>
      <c r="D253" s="107"/>
      <c r="E253" s="108"/>
      <c r="F253" s="109"/>
      <c r="G253" s="109"/>
      <c r="I253" s="110"/>
      <c r="K253" s="110"/>
      <c r="M253" s="110"/>
      <c r="O253" s="110"/>
      <c r="Q253" s="110"/>
      <c r="S253" s="110"/>
      <c r="T253" s="111"/>
      <c r="U253" s="111"/>
      <c r="W253" s="112"/>
      <c r="Y253" s="112"/>
      <c r="AA253" s="112"/>
      <c r="AC253" s="112"/>
      <c r="AE253" s="112"/>
      <c r="AG253" s="112"/>
      <c r="AI253" s="113"/>
      <c r="AJ253" s="114"/>
      <c r="AK253" s="113"/>
      <c r="AL253" s="114"/>
      <c r="AM253" s="113"/>
      <c r="AN253" s="114"/>
      <c r="AO253" s="115"/>
      <c r="AP253" s="114"/>
      <c r="AQ253" s="115"/>
      <c r="AR253" s="114"/>
      <c r="AS253" s="115"/>
      <c r="AT253" s="114"/>
      <c r="AU253" s="114"/>
    </row>
    <row r="254">
      <c r="B254" s="105"/>
      <c r="C254" s="106"/>
      <c r="D254" s="107"/>
      <c r="E254" s="108"/>
      <c r="F254" s="109"/>
      <c r="G254" s="109"/>
      <c r="I254" s="110"/>
      <c r="K254" s="110"/>
      <c r="M254" s="110"/>
      <c r="O254" s="110"/>
      <c r="Q254" s="110"/>
      <c r="S254" s="110"/>
      <c r="T254" s="111"/>
      <c r="U254" s="111"/>
      <c r="W254" s="112"/>
      <c r="Y254" s="112"/>
      <c r="AA254" s="112"/>
      <c r="AC254" s="112"/>
      <c r="AE254" s="112"/>
      <c r="AG254" s="112"/>
      <c r="AI254" s="113"/>
      <c r="AJ254" s="114"/>
      <c r="AK254" s="113"/>
      <c r="AL254" s="114"/>
      <c r="AM254" s="113"/>
      <c r="AN254" s="114"/>
      <c r="AO254" s="115"/>
      <c r="AP254" s="114"/>
      <c r="AQ254" s="115"/>
      <c r="AR254" s="114"/>
      <c r="AS254" s="115"/>
      <c r="AT254" s="114"/>
      <c r="AU254" s="114"/>
    </row>
    <row r="255">
      <c r="B255" s="105"/>
      <c r="C255" s="106"/>
      <c r="D255" s="107"/>
      <c r="E255" s="108"/>
      <c r="F255" s="109"/>
      <c r="G255" s="109"/>
      <c r="I255" s="110"/>
      <c r="K255" s="110"/>
      <c r="M255" s="110"/>
      <c r="O255" s="110"/>
      <c r="Q255" s="110"/>
      <c r="S255" s="110"/>
      <c r="T255" s="111"/>
      <c r="U255" s="111"/>
      <c r="W255" s="112"/>
      <c r="Y255" s="112"/>
      <c r="AA255" s="112"/>
      <c r="AC255" s="112"/>
      <c r="AE255" s="112"/>
      <c r="AG255" s="112"/>
      <c r="AI255" s="113"/>
      <c r="AJ255" s="114"/>
      <c r="AK255" s="113"/>
      <c r="AL255" s="114"/>
      <c r="AM255" s="113"/>
      <c r="AN255" s="114"/>
      <c r="AO255" s="115"/>
      <c r="AP255" s="114"/>
      <c r="AQ255" s="115"/>
      <c r="AR255" s="114"/>
      <c r="AS255" s="115"/>
      <c r="AT255" s="114"/>
      <c r="AU255" s="114"/>
    </row>
    <row r="256">
      <c r="B256" s="105"/>
      <c r="C256" s="106"/>
      <c r="D256" s="107"/>
      <c r="E256" s="108"/>
      <c r="F256" s="109"/>
      <c r="G256" s="109"/>
      <c r="I256" s="110"/>
      <c r="K256" s="110"/>
      <c r="M256" s="110"/>
      <c r="O256" s="110"/>
      <c r="Q256" s="110"/>
      <c r="S256" s="110"/>
      <c r="T256" s="111"/>
      <c r="U256" s="111"/>
      <c r="W256" s="112"/>
      <c r="Y256" s="112"/>
      <c r="AA256" s="112"/>
      <c r="AC256" s="112"/>
      <c r="AE256" s="112"/>
      <c r="AG256" s="112"/>
      <c r="AI256" s="113"/>
      <c r="AJ256" s="114"/>
      <c r="AK256" s="113"/>
      <c r="AL256" s="114"/>
      <c r="AM256" s="113"/>
      <c r="AN256" s="114"/>
      <c r="AO256" s="115"/>
      <c r="AP256" s="114"/>
      <c r="AQ256" s="115"/>
      <c r="AR256" s="114"/>
      <c r="AS256" s="115"/>
      <c r="AT256" s="114"/>
      <c r="AU256" s="114"/>
    </row>
    <row r="257">
      <c r="B257" s="105"/>
      <c r="C257" s="106"/>
      <c r="D257" s="107"/>
      <c r="E257" s="108"/>
      <c r="F257" s="109"/>
      <c r="G257" s="109"/>
      <c r="I257" s="110"/>
      <c r="K257" s="110"/>
      <c r="M257" s="110"/>
      <c r="O257" s="110"/>
      <c r="Q257" s="110"/>
      <c r="S257" s="110"/>
      <c r="T257" s="111"/>
      <c r="U257" s="111"/>
      <c r="W257" s="112"/>
      <c r="Y257" s="112"/>
      <c r="AA257" s="112"/>
      <c r="AC257" s="112"/>
      <c r="AE257" s="112"/>
      <c r="AG257" s="112"/>
      <c r="AI257" s="113"/>
      <c r="AJ257" s="114"/>
      <c r="AK257" s="113"/>
      <c r="AL257" s="114"/>
      <c r="AM257" s="113"/>
      <c r="AN257" s="114"/>
      <c r="AO257" s="115"/>
      <c r="AP257" s="114"/>
      <c r="AQ257" s="115"/>
      <c r="AR257" s="114"/>
      <c r="AS257" s="115"/>
      <c r="AT257" s="114"/>
      <c r="AU257" s="114"/>
    </row>
    <row r="258">
      <c r="B258" s="105"/>
      <c r="C258" s="106"/>
      <c r="D258" s="107"/>
      <c r="E258" s="108"/>
      <c r="F258" s="109"/>
      <c r="G258" s="109"/>
      <c r="I258" s="110"/>
      <c r="K258" s="110"/>
      <c r="M258" s="110"/>
      <c r="O258" s="110"/>
      <c r="Q258" s="110"/>
      <c r="S258" s="110"/>
      <c r="T258" s="111"/>
      <c r="U258" s="111"/>
      <c r="W258" s="112"/>
      <c r="Y258" s="112"/>
      <c r="AA258" s="112"/>
      <c r="AC258" s="112"/>
      <c r="AE258" s="112"/>
      <c r="AG258" s="112"/>
      <c r="AI258" s="113"/>
      <c r="AJ258" s="114"/>
      <c r="AK258" s="113"/>
      <c r="AL258" s="114"/>
      <c r="AM258" s="113"/>
      <c r="AN258" s="114"/>
      <c r="AO258" s="115"/>
      <c r="AP258" s="114"/>
      <c r="AQ258" s="115"/>
      <c r="AR258" s="114"/>
      <c r="AS258" s="115"/>
      <c r="AT258" s="114"/>
      <c r="AU258" s="114"/>
    </row>
    <row r="259">
      <c r="B259" s="105"/>
      <c r="C259" s="106"/>
      <c r="D259" s="107"/>
      <c r="E259" s="108"/>
      <c r="F259" s="109"/>
      <c r="G259" s="109"/>
      <c r="I259" s="110"/>
      <c r="K259" s="110"/>
      <c r="M259" s="110"/>
      <c r="O259" s="110"/>
      <c r="Q259" s="110"/>
      <c r="S259" s="110"/>
      <c r="T259" s="111"/>
      <c r="U259" s="111"/>
      <c r="W259" s="112"/>
      <c r="Y259" s="112"/>
      <c r="AA259" s="112"/>
      <c r="AC259" s="112"/>
      <c r="AE259" s="112"/>
      <c r="AG259" s="112"/>
      <c r="AI259" s="113"/>
      <c r="AJ259" s="114"/>
      <c r="AK259" s="113"/>
      <c r="AL259" s="114"/>
      <c r="AM259" s="113"/>
      <c r="AN259" s="114"/>
      <c r="AO259" s="115"/>
      <c r="AP259" s="114"/>
      <c r="AQ259" s="115"/>
      <c r="AR259" s="114"/>
      <c r="AS259" s="115"/>
      <c r="AT259" s="114"/>
      <c r="AU259" s="114"/>
    </row>
    <row r="260">
      <c r="B260" s="105"/>
      <c r="C260" s="106"/>
      <c r="D260" s="107"/>
      <c r="E260" s="108"/>
      <c r="F260" s="109"/>
      <c r="G260" s="109"/>
      <c r="I260" s="110"/>
      <c r="K260" s="110"/>
      <c r="M260" s="110"/>
      <c r="O260" s="110"/>
      <c r="Q260" s="110"/>
      <c r="S260" s="110"/>
      <c r="T260" s="111"/>
      <c r="U260" s="111"/>
      <c r="W260" s="112"/>
      <c r="Y260" s="112"/>
      <c r="AA260" s="112"/>
      <c r="AC260" s="112"/>
      <c r="AE260" s="112"/>
      <c r="AG260" s="112"/>
      <c r="AI260" s="113"/>
      <c r="AJ260" s="114"/>
      <c r="AK260" s="113"/>
      <c r="AL260" s="114"/>
      <c r="AM260" s="113"/>
      <c r="AN260" s="114"/>
      <c r="AO260" s="115"/>
      <c r="AP260" s="114"/>
      <c r="AQ260" s="115"/>
      <c r="AR260" s="114"/>
      <c r="AS260" s="115"/>
      <c r="AT260" s="114"/>
      <c r="AU260" s="114"/>
    </row>
    <row r="261">
      <c r="B261" s="105"/>
      <c r="C261" s="106"/>
      <c r="D261" s="107"/>
      <c r="E261" s="108"/>
      <c r="F261" s="109"/>
      <c r="G261" s="109"/>
      <c r="I261" s="110"/>
      <c r="K261" s="110"/>
      <c r="M261" s="110"/>
      <c r="O261" s="110"/>
      <c r="Q261" s="110"/>
      <c r="S261" s="110"/>
      <c r="T261" s="111"/>
      <c r="U261" s="111"/>
      <c r="W261" s="112"/>
      <c r="Y261" s="112"/>
      <c r="AA261" s="112"/>
      <c r="AC261" s="112"/>
      <c r="AE261" s="112"/>
      <c r="AG261" s="112"/>
      <c r="AI261" s="113"/>
      <c r="AJ261" s="114"/>
      <c r="AK261" s="113"/>
      <c r="AL261" s="114"/>
      <c r="AM261" s="113"/>
      <c r="AN261" s="114"/>
      <c r="AO261" s="115"/>
      <c r="AP261" s="114"/>
      <c r="AQ261" s="115"/>
      <c r="AR261" s="114"/>
      <c r="AS261" s="115"/>
      <c r="AT261" s="114"/>
      <c r="AU261" s="114"/>
    </row>
    <row r="262">
      <c r="B262" s="105"/>
      <c r="C262" s="106"/>
      <c r="D262" s="107"/>
      <c r="E262" s="108"/>
      <c r="F262" s="109"/>
      <c r="G262" s="109"/>
      <c r="I262" s="110"/>
      <c r="K262" s="110"/>
      <c r="M262" s="110"/>
      <c r="O262" s="110"/>
      <c r="Q262" s="110"/>
      <c r="S262" s="110"/>
      <c r="T262" s="111"/>
      <c r="U262" s="111"/>
      <c r="W262" s="112"/>
      <c r="Y262" s="112"/>
      <c r="AA262" s="112"/>
      <c r="AC262" s="112"/>
      <c r="AE262" s="112"/>
      <c r="AG262" s="112"/>
      <c r="AI262" s="113"/>
      <c r="AJ262" s="114"/>
      <c r="AK262" s="113"/>
      <c r="AL262" s="114"/>
      <c r="AM262" s="113"/>
      <c r="AN262" s="114"/>
      <c r="AO262" s="115"/>
      <c r="AP262" s="114"/>
      <c r="AQ262" s="115"/>
      <c r="AR262" s="114"/>
      <c r="AS262" s="115"/>
      <c r="AT262" s="114"/>
      <c r="AU262" s="114"/>
    </row>
    <row r="263">
      <c r="B263" s="105"/>
      <c r="C263" s="106"/>
      <c r="D263" s="107"/>
      <c r="E263" s="108"/>
      <c r="F263" s="109"/>
      <c r="G263" s="109"/>
      <c r="I263" s="110"/>
      <c r="K263" s="110"/>
      <c r="M263" s="110"/>
      <c r="O263" s="110"/>
      <c r="Q263" s="110"/>
      <c r="S263" s="110"/>
      <c r="T263" s="111"/>
      <c r="U263" s="111"/>
      <c r="W263" s="112"/>
      <c r="Y263" s="112"/>
      <c r="AA263" s="112"/>
      <c r="AC263" s="112"/>
      <c r="AE263" s="112"/>
      <c r="AG263" s="112"/>
      <c r="AI263" s="113"/>
      <c r="AJ263" s="114"/>
      <c r="AK263" s="113"/>
      <c r="AL263" s="114"/>
      <c r="AM263" s="113"/>
      <c r="AN263" s="114"/>
      <c r="AO263" s="115"/>
      <c r="AP263" s="114"/>
      <c r="AQ263" s="115"/>
      <c r="AR263" s="114"/>
      <c r="AS263" s="115"/>
      <c r="AT263" s="114"/>
      <c r="AU263" s="114"/>
    </row>
    <row r="264">
      <c r="B264" s="105"/>
      <c r="C264" s="106"/>
      <c r="D264" s="107"/>
      <c r="E264" s="108"/>
      <c r="F264" s="109"/>
      <c r="G264" s="109"/>
      <c r="I264" s="110"/>
      <c r="K264" s="110"/>
      <c r="M264" s="110"/>
      <c r="O264" s="110"/>
      <c r="Q264" s="110"/>
      <c r="S264" s="110"/>
      <c r="T264" s="111"/>
      <c r="U264" s="111"/>
      <c r="W264" s="112"/>
      <c r="Y264" s="112"/>
      <c r="AA264" s="112"/>
      <c r="AC264" s="112"/>
      <c r="AE264" s="112"/>
      <c r="AG264" s="112"/>
      <c r="AI264" s="113"/>
      <c r="AJ264" s="114"/>
      <c r="AK264" s="113"/>
      <c r="AL264" s="114"/>
      <c r="AM264" s="113"/>
      <c r="AN264" s="114"/>
      <c r="AO264" s="115"/>
      <c r="AP264" s="114"/>
      <c r="AQ264" s="115"/>
      <c r="AR264" s="114"/>
      <c r="AS264" s="115"/>
      <c r="AT264" s="114"/>
      <c r="AU264" s="114"/>
    </row>
    <row r="265">
      <c r="B265" s="105"/>
      <c r="C265" s="106"/>
      <c r="D265" s="107"/>
      <c r="E265" s="108"/>
      <c r="F265" s="109"/>
      <c r="G265" s="109"/>
      <c r="I265" s="110"/>
      <c r="K265" s="110"/>
      <c r="M265" s="110"/>
      <c r="O265" s="110"/>
      <c r="Q265" s="110"/>
      <c r="S265" s="110"/>
      <c r="T265" s="111"/>
      <c r="U265" s="111"/>
      <c r="W265" s="112"/>
      <c r="Y265" s="112"/>
      <c r="AA265" s="112"/>
      <c r="AC265" s="112"/>
      <c r="AE265" s="112"/>
      <c r="AG265" s="112"/>
      <c r="AI265" s="113"/>
      <c r="AJ265" s="114"/>
      <c r="AK265" s="113"/>
      <c r="AL265" s="114"/>
      <c r="AM265" s="113"/>
      <c r="AN265" s="114"/>
      <c r="AO265" s="115"/>
      <c r="AP265" s="114"/>
      <c r="AQ265" s="115"/>
      <c r="AR265" s="114"/>
      <c r="AS265" s="115"/>
      <c r="AT265" s="114"/>
      <c r="AU265" s="114"/>
    </row>
    <row r="266">
      <c r="B266" s="105"/>
      <c r="C266" s="106"/>
      <c r="D266" s="107"/>
      <c r="E266" s="108"/>
      <c r="F266" s="109"/>
      <c r="G266" s="109"/>
      <c r="I266" s="110"/>
      <c r="K266" s="110"/>
      <c r="M266" s="110"/>
      <c r="O266" s="110"/>
      <c r="Q266" s="110"/>
      <c r="S266" s="110"/>
      <c r="T266" s="111"/>
      <c r="U266" s="111"/>
      <c r="W266" s="112"/>
      <c r="Y266" s="112"/>
      <c r="AA266" s="112"/>
      <c r="AC266" s="112"/>
      <c r="AE266" s="112"/>
      <c r="AG266" s="112"/>
      <c r="AI266" s="113"/>
      <c r="AJ266" s="114"/>
      <c r="AK266" s="113"/>
      <c r="AL266" s="114"/>
      <c r="AM266" s="113"/>
      <c r="AN266" s="114"/>
      <c r="AO266" s="115"/>
      <c r="AP266" s="114"/>
      <c r="AQ266" s="115"/>
      <c r="AR266" s="114"/>
      <c r="AS266" s="115"/>
      <c r="AT266" s="114"/>
      <c r="AU266" s="114"/>
    </row>
    <row r="267">
      <c r="B267" s="105"/>
      <c r="C267" s="106"/>
      <c r="D267" s="107"/>
      <c r="E267" s="108"/>
      <c r="F267" s="109"/>
      <c r="G267" s="109"/>
      <c r="I267" s="110"/>
      <c r="K267" s="110"/>
      <c r="M267" s="110"/>
      <c r="O267" s="110"/>
      <c r="Q267" s="110"/>
      <c r="S267" s="110"/>
      <c r="T267" s="111"/>
      <c r="U267" s="111"/>
      <c r="W267" s="112"/>
      <c r="Y267" s="112"/>
      <c r="AA267" s="112"/>
      <c r="AC267" s="112"/>
      <c r="AE267" s="112"/>
      <c r="AG267" s="112"/>
      <c r="AI267" s="113"/>
      <c r="AJ267" s="114"/>
      <c r="AK267" s="113"/>
      <c r="AL267" s="114"/>
      <c r="AM267" s="113"/>
      <c r="AN267" s="114"/>
      <c r="AO267" s="115"/>
      <c r="AP267" s="114"/>
      <c r="AQ267" s="115"/>
      <c r="AR267" s="114"/>
      <c r="AS267" s="115"/>
      <c r="AT267" s="114"/>
      <c r="AU267" s="114"/>
    </row>
    <row r="268">
      <c r="B268" s="105"/>
      <c r="C268" s="106"/>
      <c r="D268" s="107"/>
      <c r="E268" s="108"/>
      <c r="F268" s="109"/>
      <c r="G268" s="109"/>
      <c r="I268" s="110"/>
      <c r="K268" s="110"/>
      <c r="M268" s="110"/>
      <c r="O268" s="110"/>
      <c r="Q268" s="110"/>
      <c r="S268" s="110"/>
      <c r="T268" s="111"/>
      <c r="U268" s="111"/>
      <c r="W268" s="112"/>
      <c r="Y268" s="112"/>
      <c r="AA268" s="112"/>
      <c r="AC268" s="112"/>
      <c r="AE268" s="112"/>
      <c r="AG268" s="112"/>
      <c r="AI268" s="113"/>
      <c r="AJ268" s="114"/>
      <c r="AK268" s="113"/>
      <c r="AL268" s="114"/>
      <c r="AM268" s="113"/>
      <c r="AN268" s="114"/>
      <c r="AO268" s="115"/>
      <c r="AP268" s="114"/>
      <c r="AQ268" s="115"/>
      <c r="AR268" s="114"/>
      <c r="AS268" s="115"/>
      <c r="AT268" s="114"/>
      <c r="AU268" s="114"/>
    </row>
    <row r="269">
      <c r="B269" s="105"/>
      <c r="C269" s="106"/>
      <c r="D269" s="107"/>
      <c r="E269" s="108"/>
      <c r="F269" s="109"/>
      <c r="G269" s="109"/>
      <c r="I269" s="110"/>
      <c r="K269" s="110"/>
      <c r="M269" s="110"/>
      <c r="O269" s="110"/>
      <c r="Q269" s="110"/>
      <c r="S269" s="110"/>
      <c r="T269" s="111"/>
      <c r="U269" s="111"/>
      <c r="W269" s="112"/>
      <c r="Y269" s="112"/>
      <c r="AA269" s="112"/>
      <c r="AC269" s="112"/>
      <c r="AE269" s="112"/>
      <c r="AG269" s="112"/>
      <c r="AI269" s="113"/>
      <c r="AJ269" s="114"/>
      <c r="AK269" s="113"/>
      <c r="AL269" s="114"/>
      <c r="AM269" s="113"/>
      <c r="AN269" s="114"/>
      <c r="AO269" s="115"/>
      <c r="AP269" s="114"/>
      <c r="AQ269" s="115"/>
      <c r="AR269" s="114"/>
      <c r="AS269" s="115"/>
      <c r="AT269" s="114"/>
      <c r="AU269" s="114"/>
    </row>
    <row r="270">
      <c r="B270" s="105"/>
      <c r="C270" s="106"/>
      <c r="D270" s="107"/>
      <c r="E270" s="108"/>
      <c r="F270" s="109"/>
      <c r="G270" s="109"/>
      <c r="I270" s="110"/>
      <c r="K270" s="110"/>
      <c r="M270" s="110"/>
      <c r="O270" s="110"/>
      <c r="Q270" s="110"/>
      <c r="S270" s="110"/>
      <c r="T270" s="111"/>
      <c r="U270" s="111"/>
      <c r="W270" s="112"/>
      <c r="Y270" s="112"/>
      <c r="AA270" s="112"/>
      <c r="AC270" s="112"/>
      <c r="AE270" s="112"/>
      <c r="AG270" s="112"/>
      <c r="AI270" s="113"/>
      <c r="AJ270" s="114"/>
      <c r="AK270" s="113"/>
      <c r="AL270" s="114"/>
      <c r="AM270" s="113"/>
      <c r="AN270" s="114"/>
      <c r="AO270" s="115"/>
      <c r="AP270" s="114"/>
      <c r="AQ270" s="115"/>
      <c r="AR270" s="114"/>
      <c r="AS270" s="115"/>
      <c r="AT270" s="114"/>
      <c r="AU270" s="114"/>
    </row>
    <row r="271">
      <c r="B271" s="105"/>
      <c r="C271" s="106"/>
      <c r="D271" s="107"/>
      <c r="E271" s="108"/>
      <c r="F271" s="109"/>
      <c r="G271" s="109"/>
      <c r="I271" s="110"/>
      <c r="K271" s="110"/>
      <c r="M271" s="110"/>
      <c r="O271" s="110"/>
      <c r="Q271" s="110"/>
      <c r="S271" s="110"/>
      <c r="T271" s="111"/>
      <c r="U271" s="111"/>
      <c r="W271" s="112"/>
      <c r="Y271" s="112"/>
      <c r="AA271" s="112"/>
      <c r="AC271" s="112"/>
      <c r="AE271" s="112"/>
      <c r="AG271" s="112"/>
      <c r="AI271" s="113"/>
      <c r="AJ271" s="114"/>
      <c r="AK271" s="113"/>
      <c r="AL271" s="114"/>
      <c r="AM271" s="113"/>
      <c r="AN271" s="114"/>
      <c r="AO271" s="115"/>
      <c r="AP271" s="114"/>
      <c r="AQ271" s="115"/>
      <c r="AR271" s="114"/>
      <c r="AS271" s="115"/>
      <c r="AT271" s="114"/>
      <c r="AU271" s="114"/>
    </row>
    <row r="272">
      <c r="B272" s="105"/>
      <c r="C272" s="106"/>
      <c r="D272" s="107"/>
      <c r="E272" s="108"/>
      <c r="F272" s="109"/>
      <c r="G272" s="109"/>
      <c r="I272" s="110"/>
      <c r="K272" s="110"/>
      <c r="M272" s="110"/>
      <c r="O272" s="110"/>
      <c r="Q272" s="110"/>
      <c r="S272" s="110"/>
      <c r="T272" s="111"/>
      <c r="U272" s="111"/>
      <c r="W272" s="112"/>
      <c r="Y272" s="112"/>
      <c r="AA272" s="112"/>
      <c r="AC272" s="112"/>
      <c r="AE272" s="112"/>
      <c r="AG272" s="112"/>
      <c r="AI272" s="113"/>
      <c r="AJ272" s="114"/>
      <c r="AK272" s="113"/>
      <c r="AL272" s="114"/>
      <c r="AM272" s="113"/>
      <c r="AN272" s="114"/>
      <c r="AO272" s="115"/>
      <c r="AP272" s="114"/>
      <c r="AQ272" s="115"/>
      <c r="AR272" s="114"/>
      <c r="AS272" s="115"/>
      <c r="AT272" s="114"/>
      <c r="AU272" s="114"/>
    </row>
    <row r="273">
      <c r="B273" s="105"/>
      <c r="C273" s="106"/>
      <c r="D273" s="107"/>
      <c r="E273" s="108"/>
      <c r="F273" s="109"/>
      <c r="G273" s="109"/>
      <c r="I273" s="110"/>
      <c r="K273" s="110"/>
      <c r="M273" s="110"/>
      <c r="O273" s="110"/>
      <c r="Q273" s="110"/>
      <c r="S273" s="110"/>
      <c r="T273" s="111"/>
      <c r="U273" s="111"/>
      <c r="W273" s="112"/>
      <c r="Y273" s="112"/>
      <c r="AA273" s="112"/>
      <c r="AC273" s="112"/>
      <c r="AE273" s="112"/>
      <c r="AG273" s="112"/>
      <c r="AI273" s="113"/>
      <c r="AJ273" s="114"/>
      <c r="AK273" s="113"/>
      <c r="AL273" s="114"/>
      <c r="AM273" s="113"/>
      <c r="AN273" s="114"/>
      <c r="AO273" s="115"/>
      <c r="AP273" s="114"/>
      <c r="AQ273" s="115"/>
      <c r="AR273" s="114"/>
      <c r="AS273" s="115"/>
      <c r="AT273" s="114"/>
      <c r="AU273" s="114"/>
    </row>
    <row r="274">
      <c r="B274" s="105"/>
      <c r="C274" s="106"/>
      <c r="D274" s="107"/>
      <c r="E274" s="108"/>
      <c r="F274" s="109"/>
      <c r="G274" s="109"/>
      <c r="I274" s="110"/>
      <c r="K274" s="110"/>
      <c r="M274" s="110"/>
      <c r="O274" s="110"/>
      <c r="Q274" s="110"/>
      <c r="S274" s="110"/>
      <c r="T274" s="111"/>
      <c r="U274" s="111"/>
      <c r="W274" s="112"/>
      <c r="Y274" s="112"/>
      <c r="AA274" s="112"/>
      <c r="AC274" s="112"/>
      <c r="AE274" s="112"/>
      <c r="AG274" s="112"/>
      <c r="AI274" s="113"/>
      <c r="AJ274" s="114"/>
      <c r="AK274" s="113"/>
      <c r="AL274" s="114"/>
      <c r="AM274" s="113"/>
      <c r="AN274" s="114"/>
      <c r="AO274" s="115"/>
      <c r="AP274" s="114"/>
      <c r="AQ274" s="115"/>
      <c r="AR274" s="114"/>
      <c r="AS274" s="115"/>
      <c r="AT274" s="114"/>
      <c r="AU274" s="114"/>
    </row>
    <row r="275">
      <c r="B275" s="105"/>
      <c r="C275" s="106"/>
      <c r="D275" s="107"/>
      <c r="E275" s="108"/>
      <c r="F275" s="109"/>
      <c r="G275" s="109"/>
      <c r="I275" s="110"/>
      <c r="K275" s="110"/>
      <c r="M275" s="110"/>
      <c r="O275" s="110"/>
      <c r="Q275" s="110"/>
      <c r="S275" s="110"/>
      <c r="T275" s="111"/>
      <c r="U275" s="111"/>
      <c r="W275" s="112"/>
      <c r="Y275" s="112"/>
      <c r="AA275" s="112"/>
      <c r="AC275" s="112"/>
      <c r="AE275" s="112"/>
      <c r="AG275" s="112"/>
      <c r="AI275" s="113"/>
      <c r="AJ275" s="114"/>
      <c r="AK275" s="113"/>
      <c r="AL275" s="114"/>
      <c r="AM275" s="113"/>
      <c r="AN275" s="114"/>
      <c r="AO275" s="115"/>
      <c r="AP275" s="114"/>
      <c r="AQ275" s="115"/>
      <c r="AR275" s="114"/>
      <c r="AS275" s="115"/>
      <c r="AT275" s="114"/>
      <c r="AU275" s="114"/>
    </row>
    <row r="276">
      <c r="B276" s="105"/>
      <c r="C276" s="106"/>
      <c r="D276" s="107"/>
      <c r="E276" s="108"/>
      <c r="F276" s="109"/>
      <c r="G276" s="109"/>
      <c r="I276" s="110"/>
      <c r="K276" s="110"/>
      <c r="M276" s="110"/>
      <c r="O276" s="110"/>
      <c r="Q276" s="110"/>
      <c r="S276" s="110"/>
      <c r="T276" s="111"/>
      <c r="U276" s="111"/>
      <c r="W276" s="112"/>
      <c r="Y276" s="112"/>
      <c r="AA276" s="112"/>
      <c r="AC276" s="112"/>
      <c r="AE276" s="112"/>
      <c r="AG276" s="112"/>
      <c r="AI276" s="113"/>
      <c r="AJ276" s="114"/>
      <c r="AK276" s="113"/>
      <c r="AL276" s="114"/>
      <c r="AM276" s="113"/>
      <c r="AN276" s="114"/>
      <c r="AO276" s="115"/>
      <c r="AP276" s="114"/>
      <c r="AQ276" s="115"/>
      <c r="AR276" s="114"/>
      <c r="AS276" s="115"/>
      <c r="AT276" s="114"/>
      <c r="AU276" s="114"/>
    </row>
    <row r="277">
      <c r="B277" s="105"/>
      <c r="C277" s="106"/>
      <c r="D277" s="107"/>
      <c r="E277" s="108"/>
      <c r="F277" s="109"/>
      <c r="G277" s="109"/>
      <c r="I277" s="110"/>
      <c r="K277" s="110"/>
      <c r="M277" s="110"/>
      <c r="O277" s="110"/>
      <c r="Q277" s="110"/>
      <c r="S277" s="110"/>
      <c r="T277" s="111"/>
      <c r="U277" s="111"/>
      <c r="W277" s="112"/>
      <c r="Y277" s="112"/>
      <c r="AA277" s="112"/>
      <c r="AC277" s="112"/>
      <c r="AE277" s="112"/>
      <c r="AG277" s="112"/>
      <c r="AI277" s="113"/>
      <c r="AJ277" s="114"/>
      <c r="AK277" s="113"/>
      <c r="AL277" s="114"/>
      <c r="AM277" s="113"/>
      <c r="AN277" s="114"/>
      <c r="AO277" s="115"/>
      <c r="AP277" s="114"/>
      <c r="AQ277" s="115"/>
      <c r="AR277" s="114"/>
      <c r="AS277" s="115"/>
      <c r="AT277" s="114"/>
      <c r="AU277" s="114"/>
    </row>
    <row r="278">
      <c r="B278" s="105"/>
      <c r="C278" s="106"/>
      <c r="D278" s="107"/>
      <c r="E278" s="108"/>
      <c r="F278" s="109"/>
      <c r="G278" s="109"/>
      <c r="I278" s="110"/>
      <c r="K278" s="110"/>
      <c r="M278" s="110"/>
      <c r="O278" s="110"/>
      <c r="Q278" s="110"/>
      <c r="S278" s="110"/>
      <c r="T278" s="111"/>
      <c r="U278" s="111"/>
      <c r="W278" s="112"/>
      <c r="Y278" s="112"/>
      <c r="AA278" s="112"/>
      <c r="AC278" s="112"/>
      <c r="AE278" s="112"/>
      <c r="AG278" s="112"/>
      <c r="AI278" s="113"/>
      <c r="AJ278" s="114"/>
      <c r="AK278" s="113"/>
      <c r="AL278" s="114"/>
      <c r="AM278" s="113"/>
      <c r="AN278" s="114"/>
      <c r="AO278" s="115"/>
      <c r="AP278" s="114"/>
      <c r="AQ278" s="115"/>
      <c r="AR278" s="114"/>
      <c r="AS278" s="115"/>
      <c r="AT278" s="114"/>
      <c r="AU278" s="114"/>
    </row>
    <row r="279">
      <c r="B279" s="105"/>
      <c r="C279" s="106"/>
      <c r="D279" s="107"/>
      <c r="E279" s="108"/>
      <c r="F279" s="109"/>
      <c r="G279" s="109"/>
      <c r="I279" s="110"/>
      <c r="K279" s="110"/>
      <c r="M279" s="110"/>
      <c r="O279" s="110"/>
      <c r="Q279" s="110"/>
      <c r="S279" s="110"/>
      <c r="T279" s="111"/>
      <c r="U279" s="111"/>
      <c r="W279" s="112"/>
      <c r="Y279" s="112"/>
      <c r="AA279" s="112"/>
      <c r="AC279" s="112"/>
      <c r="AE279" s="112"/>
      <c r="AG279" s="112"/>
      <c r="AI279" s="113"/>
      <c r="AJ279" s="114"/>
      <c r="AK279" s="113"/>
      <c r="AL279" s="114"/>
      <c r="AM279" s="113"/>
      <c r="AN279" s="114"/>
      <c r="AO279" s="115"/>
      <c r="AP279" s="114"/>
      <c r="AQ279" s="115"/>
      <c r="AR279" s="114"/>
      <c r="AS279" s="115"/>
      <c r="AT279" s="114"/>
      <c r="AU279" s="114"/>
    </row>
    <row r="280">
      <c r="B280" s="105"/>
      <c r="C280" s="106"/>
      <c r="D280" s="107"/>
      <c r="E280" s="108"/>
      <c r="F280" s="109"/>
      <c r="G280" s="109"/>
      <c r="I280" s="110"/>
      <c r="K280" s="110"/>
      <c r="M280" s="110"/>
      <c r="O280" s="110"/>
      <c r="Q280" s="110"/>
      <c r="S280" s="110"/>
      <c r="T280" s="111"/>
      <c r="U280" s="111"/>
      <c r="W280" s="112"/>
      <c r="Y280" s="112"/>
      <c r="AA280" s="112"/>
      <c r="AC280" s="112"/>
      <c r="AE280" s="112"/>
      <c r="AG280" s="112"/>
      <c r="AI280" s="113"/>
      <c r="AJ280" s="114"/>
      <c r="AK280" s="113"/>
      <c r="AL280" s="114"/>
      <c r="AM280" s="113"/>
      <c r="AN280" s="114"/>
      <c r="AO280" s="115"/>
      <c r="AP280" s="114"/>
      <c r="AQ280" s="115"/>
      <c r="AR280" s="114"/>
      <c r="AS280" s="115"/>
      <c r="AT280" s="114"/>
      <c r="AU280" s="114"/>
    </row>
    <row r="281">
      <c r="B281" s="105"/>
      <c r="C281" s="106"/>
      <c r="D281" s="107"/>
      <c r="E281" s="108"/>
      <c r="F281" s="109"/>
      <c r="G281" s="109"/>
      <c r="I281" s="110"/>
      <c r="K281" s="110"/>
      <c r="M281" s="110"/>
      <c r="O281" s="110"/>
      <c r="Q281" s="110"/>
      <c r="S281" s="110"/>
      <c r="T281" s="111"/>
      <c r="U281" s="111"/>
      <c r="W281" s="112"/>
      <c r="Y281" s="112"/>
      <c r="AA281" s="112"/>
      <c r="AC281" s="112"/>
      <c r="AE281" s="112"/>
      <c r="AG281" s="112"/>
      <c r="AI281" s="113"/>
      <c r="AJ281" s="114"/>
      <c r="AK281" s="113"/>
      <c r="AL281" s="114"/>
      <c r="AM281" s="113"/>
      <c r="AN281" s="114"/>
      <c r="AO281" s="115"/>
      <c r="AP281" s="114"/>
      <c r="AQ281" s="115"/>
      <c r="AR281" s="114"/>
      <c r="AS281" s="115"/>
      <c r="AT281" s="114"/>
      <c r="AU281" s="114"/>
    </row>
    <row r="282">
      <c r="B282" s="105"/>
      <c r="C282" s="106"/>
      <c r="D282" s="107"/>
      <c r="E282" s="108"/>
      <c r="F282" s="109"/>
      <c r="G282" s="109"/>
      <c r="I282" s="110"/>
      <c r="K282" s="110"/>
      <c r="M282" s="110"/>
      <c r="O282" s="110"/>
      <c r="Q282" s="110"/>
      <c r="S282" s="110"/>
      <c r="T282" s="111"/>
      <c r="U282" s="111"/>
      <c r="W282" s="112"/>
      <c r="Y282" s="112"/>
      <c r="AA282" s="112"/>
      <c r="AC282" s="112"/>
      <c r="AE282" s="112"/>
      <c r="AG282" s="112"/>
      <c r="AI282" s="113"/>
      <c r="AJ282" s="114"/>
      <c r="AK282" s="113"/>
      <c r="AL282" s="114"/>
      <c r="AM282" s="113"/>
      <c r="AN282" s="114"/>
      <c r="AO282" s="115"/>
      <c r="AP282" s="114"/>
      <c r="AQ282" s="115"/>
      <c r="AR282" s="114"/>
      <c r="AS282" s="115"/>
      <c r="AT282" s="114"/>
      <c r="AU282" s="114"/>
    </row>
    <row r="283">
      <c r="B283" s="105"/>
      <c r="C283" s="106"/>
      <c r="D283" s="107"/>
      <c r="E283" s="108"/>
      <c r="F283" s="109"/>
      <c r="G283" s="109"/>
      <c r="I283" s="110"/>
      <c r="K283" s="110"/>
      <c r="M283" s="110"/>
      <c r="O283" s="110"/>
      <c r="Q283" s="110"/>
      <c r="S283" s="110"/>
      <c r="T283" s="111"/>
      <c r="U283" s="111"/>
      <c r="W283" s="112"/>
      <c r="Y283" s="112"/>
      <c r="AA283" s="112"/>
      <c r="AC283" s="112"/>
      <c r="AE283" s="112"/>
      <c r="AG283" s="112"/>
      <c r="AI283" s="113"/>
      <c r="AJ283" s="114"/>
      <c r="AK283" s="113"/>
      <c r="AL283" s="114"/>
      <c r="AM283" s="113"/>
      <c r="AN283" s="114"/>
      <c r="AO283" s="115"/>
      <c r="AP283" s="114"/>
      <c r="AQ283" s="115"/>
      <c r="AR283" s="114"/>
      <c r="AS283" s="115"/>
      <c r="AT283" s="114"/>
      <c r="AU283" s="114"/>
    </row>
    <row r="284">
      <c r="B284" s="105"/>
      <c r="C284" s="106"/>
      <c r="D284" s="107"/>
      <c r="E284" s="108"/>
      <c r="F284" s="109"/>
      <c r="G284" s="109"/>
      <c r="I284" s="110"/>
      <c r="K284" s="110"/>
      <c r="M284" s="110"/>
      <c r="O284" s="110"/>
      <c r="Q284" s="110"/>
      <c r="S284" s="110"/>
      <c r="T284" s="111"/>
      <c r="U284" s="111"/>
      <c r="W284" s="112"/>
      <c r="Y284" s="112"/>
      <c r="AA284" s="112"/>
      <c r="AC284" s="112"/>
      <c r="AE284" s="112"/>
      <c r="AG284" s="112"/>
      <c r="AI284" s="113"/>
      <c r="AJ284" s="114"/>
      <c r="AK284" s="113"/>
      <c r="AL284" s="114"/>
      <c r="AM284" s="113"/>
      <c r="AN284" s="114"/>
      <c r="AO284" s="115"/>
      <c r="AP284" s="114"/>
      <c r="AQ284" s="115"/>
      <c r="AR284" s="114"/>
      <c r="AS284" s="115"/>
      <c r="AT284" s="114"/>
      <c r="AU284" s="114"/>
    </row>
    <row r="285">
      <c r="B285" s="105"/>
      <c r="C285" s="106"/>
      <c r="D285" s="107"/>
      <c r="E285" s="108"/>
      <c r="F285" s="109"/>
      <c r="G285" s="109"/>
      <c r="I285" s="110"/>
      <c r="K285" s="110"/>
      <c r="M285" s="110"/>
      <c r="O285" s="110"/>
      <c r="Q285" s="110"/>
      <c r="S285" s="110"/>
      <c r="T285" s="111"/>
      <c r="U285" s="111"/>
      <c r="W285" s="112"/>
      <c r="Y285" s="112"/>
      <c r="AA285" s="112"/>
      <c r="AC285" s="112"/>
      <c r="AE285" s="112"/>
      <c r="AG285" s="112"/>
      <c r="AI285" s="113"/>
      <c r="AJ285" s="114"/>
      <c r="AK285" s="113"/>
      <c r="AL285" s="114"/>
      <c r="AM285" s="113"/>
      <c r="AN285" s="114"/>
      <c r="AO285" s="115"/>
      <c r="AP285" s="114"/>
      <c r="AQ285" s="115"/>
      <c r="AR285" s="114"/>
      <c r="AS285" s="115"/>
      <c r="AT285" s="114"/>
      <c r="AU285" s="114"/>
    </row>
    <row r="286">
      <c r="B286" s="105"/>
      <c r="C286" s="106"/>
      <c r="D286" s="107"/>
      <c r="E286" s="108"/>
      <c r="F286" s="109"/>
      <c r="G286" s="109"/>
      <c r="I286" s="110"/>
      <c r="K286" s="110"/>
      <c r="M286" s="110"/>
      <c r="O286" s="110"/>
      <c r="Q286" s="110"/>
      <c r="S286" s="110"/>
      <c r="T286" s="111"/>
      <c r="U286" s="111"/>
      <c r="W286" s="112"/>
      <c r="Y286" s="112"/>
      <c r="AA286" s="112"/>
      <c r="AC286" s="112"/>
      <c r="AE286" s="112"/>
      <c r="AG286" s="112"/>
      <c r="AI286" s="113"/>
      <c r="AJ286" s="114"/>
      <c r="AK286" s="113"/>
      <c r="AL286" s="114"/>
      <c r="AM286" s="113"/>
      <c r="AN286" s="114"/>
      <c r="AO286" s="115"/>
      <c r="AP286" s="114"/>
      <c r="AQ286" s="115"/>
      <c r="AR286" s="114"/>
      <c r="AS286" s="115"/>
      <c r="AT286" s="114"/>
      <c r="AU286" s="114"/>
    </row>
    <row r="287">
      <c r="B287" s="105"/>
      <c r="C287" s="106"/>
      <c r="D287" s="107"/>
      <c r="E287" s="108"/>
      <c r="F287" s="109"/>
      <c r="G287" s="109"/>
      <c r="I287" s="110"/>
      <c r="K287" s="110"/>
      <c r="M287" s="110"/>
      <c r="O287" s="110"/>
      <c r="Q287" s="110"/>
      <c r="S287" s="110"/>
      <c r="T287" s="111"/>
      <c r="U287" s="111"/>
      <c r="W287" s="112"/>
      <c r="Y287" s="112"/>
      <c r="AA287" s="112"/>
      <c r="AC287" s="112"/>
      <c r="AE287" s="112"/>
      <c r="AG287" s="112"/>
      <c r="AI287" s="113"/>
      <c r="AJ287" s="114"/>
      <c r="AK287" s="113"/>
      <c r="AL287" s="114"/>
      <c r="AM287" s="113"/>
      <c r="AN287" s="114"/>
      <c r="AO287" s="115"/>
      <c r="AP287" s="114"/>
      <c r="AQ287" s="115"/>
      <c r="AR287" s="114"/>
      <c r="AS287" s="115"/>
      <c r="AT287" s="114"/>
      <c r="AU287" s="114"/>
    </row>
    <row r="288">
      <c r="B288" s="105"/>
      <c r="C288" s="106"/>
      <c r="D288" s="107"/>
      <c r="E288" s="108"/>
      <c r="F288" s="109"/>
      <c r="G288" s="109"/>
      <c r="I288" s="110"/>
      <c r="K288" s="110"/>
      <c r="M288" s="110"/>
      <c r="O288" s="110"/>
      <c r="Q288" s="110"/>
      <c r="S288" s="110"/>
      <c r="T288" s="111"/>
      <c r="U288" s="111"/>
      <c r="W288" s="112"/>
      <c r="Y288" s="112"/>
      <c r="AA288" s="112"/>
      <c r="AC288" s="112"/>
      <c r="AE288" s="112"/>
      <c r="AG288" s="112"/>
      <c r="AI288" s="113"/>
      <c r="AJ288" s="114"/>
      <c r="AK288" s="113"/>
      <c r="AL288" s="114"/>
      <c r="AM288" s="113"/>
      <c r="AN288" s="114"/>
      <c r="AO288" s="115"/>
      <c r="AP288" s="114"/>
      <c r="AQ288" s="115"/>
      <c r="AR288" s="114"/>
      <c r="AS288" s="115"/>
      <c r="AT288" s="114"/>
      <c r="AU288" s="114"/>
    </row>
    <row r="289">
      <c r="B289" s="105"/>
      <c r="C289" s="106"/>
      <c r="D289" s="107"/>
      <c r="E289" s="108"/>
      <c r="F289" s="109"/>
      <c r="G289" s="109"/>
      <c r="I289" s="110"/>
      <c r="K289" s="110"/>
      <c r="M289" s="110"/>
      <c r="O289" s="110"/>
      <c r="Q289" s="110"/>
      <c r="S289" s="110"/>
      <c r="T289" s="111"/>
      <c r="U289" s="111"/>
      <c r="W289" s="112"/>
      <c r="Y289" s="112"/>
      <c r="AA289" s="112"/>
      <c r="AC289" s="112"/>
      <c r="AE289" s="112"/>
      <c r="AG289" s="112"/>
      <c r="AI289" s="113"/>
      <c r="AJ289" s="114"/>
      <c r="AK289" s="113"/>
      <c r="AL289" s="114"/>
      <c r="AM289" s="113"/>
      <c r="AN289" s="114"/>
      <c r="AO289" s="115"/>
      <c r="AP289" s="114"/>
      <c r="AQ289" s="115"/>
      <c r="AR289" s="114"/>
      <c r="AS289" s="115"/>
      <c r="AT289" s="114"/>
      <c r="AU289" s="114"/>
    </row>
    <row r="290">
      <c r="B290" s="105"/>
      <c r="C290" s="106"/>
      <c r="D290" s="107"/>
      <c r="E290" s="108"/>
      <c r="F290" s="109"/>
      <c r="G290" s="109"/>
      <c r="I290" s="110"/>
      <c r="K290" s="110"/>
      <c r="M290" s="110"/>
      <c r="O290" s="110"/>
      <c r="Q290" s="110"/>
      <c r="S290" s="110"/>
      <c r="T290" s="111"/>
      <c r="U290" s="111"/>
      <c r="W290" s="112"/>
      <c r="Y290" s="112"/>
      <c r="AA290" s="112"/>
      <c r="AC290" s="112"/>
      <c r="AE290" s="112"/>
      <c r="AG290" s="112"/>
      <c r="AI290" s="113"/>
      <c r="AJ290" s="114"/>
      <c r="AK290" s="113"/>
      <c r="AL290" s="114"/>
      <c r="AM290" s="113"/>
      <c r="AN290" s="114"/>
      <c r="AO290" s="115"/>
      <c r="AP290" s="114"/>
      <c r="AQ290" s="115"/>
      <c r="AR290" s="114"/>
      <c r="AS290" s="115"/>
      <c r="AT290" s="114"/>
      <c r="AU290" s="114"/>
    </row>
    <row r="291">
      <c r="B291" s="105"/>
      <c r="C291" s="106"/>
      <c r="D291" s="107"/>
      <c r="E291" s="108"/>
      <c r="F291" s="109"/>
      <c r="G291" s="109"/>
      <c r="I291" s="110"/>
      <c r="K291" s="110"/>
      <c r="M291" s="110"/>
      <c r="O291" s="110"/>
      <c r="Q291" s="110"/>
      <c r="S291" s="110"/>
      <c r="T291" s="111"/>
      <c r="U291" s="111"/>
      <c r="W291" s="112"/>
      <c r="Y291" s="112"/>
      <c r="AA291" s="112"/>
      <c r="AC291" s="112"/>
      <c r="AE291" s="112"/>
      <c r="AG291" s="112"/>
      <c r="AI291" s="113"/>
      <c r="AJ291" s="114"/>
      <c r="AK291" s="113"/>
      <c r="AL291" s="114"/>
      <c r="AM291" s="113"/>
      <c r="AN291" s="114"/>
      <c r="AO291" s="115"/>
      <c r="AP291" s="114"/>
      <c r="AQ291" s="115"/>
      <c r="AR291" s="114"/>
      <c r="AS291" s="115"/>
      <c r="AT291" s="114"/>
      <c r="AU291" s="114"/>
    </row>
    <row r="292">
      <c r="B292" s="105"/>
      <c r="C292" s="106"/>
      <c r="D292" s="107"/>
      <c r="E292" s="108"/>
      <c r="F292" s="109"/>
      <c r="G292" s="109"/>
      <c r="I292" s="110"/>
      <c r="K292" s="110"/>
      <c r="M292" s="110"/>
      <c r="O292" s="110"/>
      <c r="Q292" s="110"/>
      <c r="S292" s="110"/>
      <c r="T292" s="111"/>
      <c r="U292" s="111"/>
      <c r="W292" s="112"/>
      <c r="Y292" s="112"/>
      <c r="AA292" s="112"/>
      <c r="AC292" s="112"/>
      <c r="AE292" s="112"/>
      <c r="AG292" s="112"/>
      <c r="AI292" s="113"/>
      <c r="AJ292" s="114"/>
      <c r="AK292" s="113"/>
      <c r="AL292" s="114"/>
      <c r="AM292" s="113"/>
      <c r="AN292" s="114"/>
      <c r="AO292" s="115"/>
      <c r="AP292" s="114"/>
      <c r="AQ292" s="115"/>
      <c r="AR292" s="114"/>
      <c r="AS292" s="115"/>
      <c r="AT292" s="114"/>
      <c r="AU292" s="114"/>
    </row>
    <row r="293">
      <c r="B293" s="105"/>
      <c r="C293" s="106"/>
      <c r="D293" s="107"/>
      <c r="E293" s="108"/>
      <c r="F293" s="109"/>
      <c r="G293" s="109"/>
      <c r="I293" s="110"/>
      <c r="K293" s="110"/>
      <c r="M293" s="110"/>
      <c r="O293" s="110"/>
      <c r="Q293" s="110"/>
      <c r="S293" s="110"/>
      <c r="T293" s="111"/>
      <c r="U293" s="111"/>
      <c r="W293" s="112"/>
      <c r="Y293" s="112"/>
      <c r="AA293" s="112"/>
      <c r="AC293" s="112"/>
      <c r="AE293" s="112"/>
      <c r="AG293" s="112"/>
      <c r="AI293" s="113"/>
      <c r="AJ293" s="114"/>
      <c r="AK293" s="113"/>
      <c r="AL293" s="114"/>
      <c r="AM293" s="113"/>
      <c r="AN293" s="114"/>
      <c r="AO293" s="115"/>
      <c r="AP293" s="114"/>
      <c r="AQ293" s="115"/>
      <c r="AR293" s="114"/>
      <c r="AS293" s="115"/>
      <c r="AT293" s="114"/>
      <c r="AU293" s="114"/>
    </row>
    <row r="294">
      <c r="B294" s="105"/>
      <c r="C294" s="106"/>
      <c r="D294" s="107"/>
      <c r="E294" s="108"/>
      <c r="F294" s="109"/>
      <c r="G294" s="109"/>
      <c r="I294" s="110"/>
      <c r="K294" s="110"/>
      <c r="M294" s="110"/>
      <c r="O294" s="110"/>
      <c r="Q294" s="110"/>
      <c r="S294" s="110"/>
      <c r="T294" s="111"/>
      <c r="U294" s="111"/>
      <c r="W294" s="112"/>
      <c r="Y294" s="112"/>
      <c r="AA294" s="112"/>
      <c r="AC294" s="112"/>
      <c r="AE294" s="112"/>
      <c r="AG294" s="112"/>
      <c r="AI294" s="113"/>
      <c r="AJ294" s="114"/>
      <c r="AK294" s="113"/>
      <c r="AL294" s="114"/>
      <c r="AM294" s="113"/>
      <c r="AN294" s="114"/>
      <c r="AO294" s="115"/>
      <c r="AP294" s="114"/>
      <c r="AQ294" s="115"/>
      <c r="AR294" s="114"/>
      <c r="AS294" s="115"/>
      <c r="AT294" s="114"/>
      <c r="AU294" s="114"/>
    </row>
    <row r="295">
      <c r="B295" s="105"/>
      <c r="C295" s="106"/>
      <c r="D295" s="107"/>
      <c r="E295" s="108"/>
      <c r="F295" s="109"/>
      <c r="G295" s="109"/>
      <c r="I295" s="110"/>
      <c r="K295" s="110"/>
      <c r="M295" s="110"/>
      <c r="O295" s="110"/>
      <c r="Q295" s="110"/>
      <c r="S295" s="110"/>
      <c r="T295" s="111"/>
      <c r="U295" s="111"/>
      <c r="W295" s="112"/>
      <c r="Y295" s="112"/>
      <c r="AA295" s="112"/>
      <c r="AC295" s="112"/>
      <c r="AE295" s="112"/>
      <c r="AG295" s="112"/>
      <c r="AI295" s="113"/>
      <c r="AJ295" s="114"/>
      <c r="AK295" s="113"/>
      <c r="AL295" s="114"/>
      <c r="AM295" s="113"/>
      <c r="AN295" s="114"/>
      <c r="AO295" s="115"/>
      <c r="AP295" s="114"/>
      <c r="AQ295" s="115"/>
      <c r="AR295" s="114"/>
      <c r="AS295" s="115"/>
      <c r="AT295" s="114"/>
      <c r="AU295" s="114"/>
    </row>
    <row r="296">
      <c r="B296" s="105"/>
      <c r="C296" s="106"/>
      <c r="D296" s="107"/>
      <c r="E296" s="108"/>
      <c r="F296" s="109"/>
      <c r="G296" s="109"/>
      <c r="I296" s="110"/>
      <c r="K296" s="110"/>
      <c r="M296" s="110"/>
      <c r="O296" s="110"/>
      <c r="Q296" s="110"/>
      <c r="S296" s="110"/>
      <c r="T296" s="111"/>
      <c r="U296" s="111"/>
      <c r="W296" s="112"/>
      <c r="Y296" s="112"/>
      <c r="AA296" s="112"/>
      <c r="AC296" s="112"/>
      <c r="AE296" s="112"/>
      <c r="AG296" s="112"/>
      <c r="AI296" s="113"/>
      <c r="AJ296" s="114"/>
      <c r="AK296" s="113"/>
      <c r="AL296" s="114"/>
      <c r="AM296" s="113"/>
      <c r="AN296" s="114"/>
      <c r="AO296" s="115"/>
      <c r="AP296" s="114"/>
      <c r="AQ296" s="115"/>
      <c r="AR296" s="114"/>
      <c r="AS296" s="115"/>
      <c r="AT296" s="114"/>
      <c r="AU296" s="114"/>
    </row>
    <row r="297">
      <c r="B297" s="105"/>
      <c r="C297" s="106"/>
      <c r="D297" s="107"/>
      <c r="E297" s="108"/>
      <c r="F297" s="109"/>
      <c r="G297" s="109"/>
      <c r="I297" s="110"/>
      <c r="K297" s="110"/>
      <c r="M297" s="110"/>
      <c r="O297" s="110"/>
      <c r="Q297" s="110"/>
      <c r="S297" s="110"/>
      <c r="T297" s="111"/>
      <c r="U297" s="111"/>
      <c r="W297" s="112"/>
      <c r="Y297" s="112"/>
      <c r="AA297" s="112"/>
      <c r="AC297" s="112"/>
      <c r="AE297" s="112"/>
      <c r="AG297" s="112"/>
      <c r="AI297" s="113"/>
      <c r="AJ297" s="114"/>
      <c r="AK297" s="113"/>
      <c r="AL297" s="114"/>
      <c r="AM297" s="113"/>
      <c r="AN297" s="114"/>
      <c r="AO297" s="115"/>
      <c r="AP297" s="114"/>
      <c r="AQ297" s="115"/>
      <c r="AR297" s="114"/>
      <c r="AS297" s="115"/>
      <c r="AT297" s="114"/>
      <c r="AU297" s="114"/>
    </row>
    <row r="298">
      <c r="B298" s="105"/>
      <c r="C298" s="106"/>
      <c r="D298" s="107"/>
      <c r="E298" s="108"/>
      <c r="F298" s="109"/>
      <c r="G298" s="109"/>
      <c r="I298" s="110"/>
      <c r="K298" s="110"/>
      <c r="M298" s="110"/>
      <c r="O298" s="110"/>
      <c r="Q298" s="110"/>
      <c r="S298" s="110"/>
      <c r="T298" s="111"/>
      <c r="U298" s="111"/>
      <c r="W298" s="112"/>
      <c r="Y298" s="112"/>
      <c r="AA298" s="112"/>
      <c r="AC298" s="112"/>
      <c r="AE298" s="112"/>
      <c r="AG298" s="112"/>
      <c r="AI298" s="113"/>
      <c r="AJ298" s="114"/>
      <c r="AK298" s="113"/>
      <c r="AL298" s="114"/>
      <c r="AM298" s="113"/>
      <c r="AN298" s="114"/>
      <c r="AO298" s="115"/>
      <c r="AP298" s="114"/>
      <c r="AQ298" s="115"/>
      <c r="AR298" s="114"/>
      <c r="AS298" s="115"/>
      <c r="AT298" s="114"/>
      <c r="AU298" s="114"/>
    </row>
    <row r="299">
      <c r="B299" s="105"/>
      <c r="C299" s="106"/>
      <c r="D299" s="107"/>
      <c r="E299" s="108"/>
      <c r="F299" s="109"/>
      <c r="G299" s="109"/>
      <c r="I299" s="110"/>
      <c r="K299" s="110"/>
      <c r="M299" s="110"/>
      <c r="O299" s="110"/>
      <c r="Q299" s="110"/>
      <c r="S299" s="110"/>
      <c r="T299" s="111"/>
      <c r="U299" s="111"/>
      <c r="W299" s="112"/>
      <c r="Y299" s="112"/>
      <c r="AA299" s="112"/>
      <c r="AC299" s="112"/>
      <c r="AE299" s="112"/>
      <c r="AG299" s="112"/>
      <c r="AI299" s="113"/>
      <c r="AJ299" s="114"/>
      <c r="AK299" s="113"/>
      <c r="AL299" s="114"/>
      <c r="AM299" s="113"/>
      <c r="AN299" s="114"/>
      <c r="AO299" s="115"/>
      <c r="AP299" s="114"/>
      <c r="AQ299" s="115"/>
      <c r="AR299" s="114"/>
      <c r="AS299" s="115"/>
      <c r="AT299" s="114"/>
      <c r="AU299" s="114"/>
    </row>
    <row r="300">
      <c r="B300" s="105"/>
      <c r="C300" s="106"/>
      <c r="D300" s="107"/>
      <c r="E300" s="108"/>
      <c r="F300" s="109"/>
      <c r="G300" s="109"/>
      <c r="I300" s="110"/>
      <c r="K300" s="110"/>
      <c r="M300" s="110"/>
      <c r="O300" s="110"/>
      <c r="Q300" s="110"/>
      <c r="S300" s="110"/>
      <c r="T300" s="111"/>
      <c r="U300" s="111"/>
      <c r="W300" s="112"/>
      <c r="Y300" s="112"/>
      <c r="AA300" s="112"/>
      <c r="AC300" s="112"/>
      <c r="AE300" s="112"/>
      <c r="AG300" s="112"/>
      <c r="AI300" s="113"/>
      <c r="AJ300" s="114"/>
      <c r="AK300" s="113"/>
      <c r="AL300" s="114"/>
      <c r="AM300" s="113"/>
      <c r="AN300" s="114"/>
      <c r="AO300" s="115"/>
      <c r="AP300" s="114"/>
      <c r="AQ300" s="115"/>
      <c r="AR300" s="114"/>
      <c r="AS300" s="115"/>
      <c r="AT300" s="114"/>
      <c r="AU300" s="114"/>
    </row>
    <row r="301">
      <c r="B301" s="105"/>
      <c r="C301" s="106"/>
      <c r="D301" s="107"/>
      <c r="E301" s="108"/>
      <c r="F301" s="109"/>
      <c r="G301" s="109"/>
      <c r="I301" s="110"/>
      <c r="K301" s="110"/>
      <c r="M301" s="110"/>
      <c r="O301" s="110"/>
      <c r="Q301" s="110"/>
      <c r="S301" s="110"/>
      <c r="T301" s="111"/>
      <c r="U301" s="111"/>
      <c r="W301" s="112"/>
      <c r="Y301" s="112"/>
      <c r="AA301" s="112"/>
      <c r="AC301" s="112"/>
      <c r="AE301" s="112"/>
      <c r="AG301" s="112"/>
      <c r="AI301" s="113"/>
      <c r="AJ301" s="114"/>
      <c r="AK301" s="113"/>
      <c r="AL301" s="114"/>
      <c r="AM301" s="113"/>
      <c r="AN301" s="114"/>
      <c r="AO301" s="115"/>
      <c r="AP301" s="114"/>
      <c r="AQ301" s="115"/>
      <c r="AR301" s="114"/>
      <c r="AS301" s="115"/>
      <c r="AT301" s="114"/>
      <c r="AU301" s="114"/>
    </row>
    <row r="302">
      <c r="B302" s="105"/>
      <c r="C302" s="106"/>
      <c r="D302" s="107"/>
      <c r="E302" s="108"/>
      <c r="F302" s="109"/>
      <c r="G302" s="109"/>
      <c r="I302" s="110"/>
      <c r="K302" s="110"/>
      <c r="M302" s="110"/>
      <c r="O302" s="110"/>
      <c r="Q302" s="110"/>
      <c r="S302" s="110"/>
      <c r="T302" s="111"/>
      <c r="U302" s="111"/>
      <c r="W302" s="112"/>
      <c r="Y302" s="112"/>
      <c r="AA302" s="112"/>
      <c r="AC302" s="112"/>
      <c r="AE302" s="112"/>
      <c r="AG302" s="112"/>
      <c r="AI302" s="113"/>
      <c r="AJ302" s="114"/>
      <c r="AK302" s="113"/>
      <c r="AL302" s="114"/>
      <c r="AM302" s="113"/>
      <c r="AN302" s="114"/>
      <c r="AO302" s="115"/>
      <c r="AP302" s="114"/>
      <c r="AQ302" s="115"/>
      <c r="AR302" s="114"/>
      <c r="AS302" s="115"/>
      <c r="AT302" s="114"/>
      <c r="AU302" s="114"/>
    </row>
    <row r="303">
      <c r="B303" s="105"/>
      <c r="C303" s="106"/>
      <c r="D303" s="107"/>
      <c r="E303" s="108"/>
      <c r="F303" s="109"/>
      <c r="G303" s="109"/>
      <c r="I303" s="110"/>
      <c r="K303" s="110"/>
      <c r="M303" s="110"/>
      <c r="O303" s="110"/>
      <c r="Q303" s="110"/>
      <c r="S303" s="110"/>
      <c r="T303" s="111"/>
      <c r="U303" s="111"/>
      <c r="W303" s="112"/>
      <c r="Y303" s="112"/>
      <c r="AA303" s="112"/>
      <c r="AC303" s="112"/>
      <c r="AE303" s="112"/>
      <c r="AG303" s="112"/>
      <c r="AI303" s="113"/>
      <c r="AJ303" s="114"/>
      <c r="AK303" s="113"/>
      <c r="AL303" s="114"/>
      <c r="AM303" s="113"/>
      <c r="AN303" s="114"/>
      <c r="AO303" s="115"/>
      <c r="AP303" s="114"/>
      <c r="AQ303" s="115"/>
      <c r="AR303" s="114"/>
      <c r="AS303" s="115"/>
      <c r="AT303" s="114"/>
      <c r="AU303" s="114"/>
    </row>
    <row r="304">
      <c r="B304" s="105"/>
      <c r="C304" s="106"/>
      <c r="D304" s="107"/>
      <c r="E304" s="108"/>
      <c r="F304" s="109"/>
      <c r="G304" s="109"/>
      <c r="I304" s="110"/>
      <c r="K304" s="110"/>
      <c r="M304" s="110"/>
      <c r="O304" s="110"/>
      <c r="Q304" s="110"/>
      <c r="S304" s="110"/>
      <c r="T304" s="111"/>
      <c r="U304" s="111"/>
      <c r="W304" s="112"/>
      <c r="Y304" s="112"/>
      <c r="AA304" s="112"/>
      <c r="AC304" s="112"/>
      <c r="AE304" s="112"/>
      <c r="AG304" s="112"/>
      <c r="AI304" s="113"/>
      <c r="AJ304" s="114"/>
      <c r="AK304" s="113"/>
      <c r="AL304" s="114"/>
      <c r="AM304" s="113"/>
      <c r="AN304" s="114"/>
      <c r="AO304" s="115"/>
      <c r="AP304" s="114"/>
      <c r="AQ304" s="115"/>
      <c r="AR304" s="114"/>
      <c r="AS304" s="115"/>
      <c r="AT304" s="114"/>
      <c r="AU304" s="114"/>
    </row>
    <row r="305">
      <c r="B305" s="105"/>
      <c r="C305" s="106"/>
      <c r="D305" s="107"/>
      <c r="E305" s="108"/>
      <c r="F305" s="109"/>
      <c r="G305" s="109"/>
      <c r="I305" s="110"/>
      <c r="K305" s="110"/>
      <c r="M305" s="110"/>
      <c r="O305" s="110"/>
      <c r="Q305" s="110"/>
      <c r="S305" s="110"/>
      <c r="T305" s="111"/>
      <c r="U305" s="111"/>
      <c r="W305" s="112"/>
      <c r="Y305" s="112"/>
      <c r="AA305" s="112"/>
      <c r="AC305" s="112"/>
      <c r="AE305" s="112"/>
      <c r="AG305" s="112"/>
      <c r="AI305" s="113"/>
      <c r="AJ305" s="114"/>
      <c r="AK305" s="113"/>
      <c r="AL305" s="114"/>
      <c r="AM305" s="113"/>
      <c r="AN305" s="114"/>
      <c r="AO305" s="115"/>
      <c r="AP305" s="114"/>
      <c r="AQ305" s="115"/>
      <c r="AR305" s="114"/>
      <c r="AS305" s="115"/>
      <c r="AT305" s="114"/>
      <c r="AU305" s="114"/>
    </row>
    <row r="306">
      <c r="B306" s="105"/>
      <c r="C306" s="106"/>
      <c r="D306" s="107"/>
      <c r="E306" s="108"/>
      <c r="F306" s="109"/>
      <c r="G306" s="109"/>
      <c r="I306" s="110"/>
      <c r="K306" s="110"/>
      <c r="M306" s="110"/>
      <c r="O306" s="110"/>
      <c r="Q306" s="110"/>
      <c r="S306" s="110"/>
      <c r="T306" s="111"/>
      <c r="U306" s="111"/>
      <c r="W306" s="112"/>
      <c r="Y306" s="112"/>
      <c r="AA306" s="112"/>
      <c r="AC306" s="112"/>
      <c r="AE306" s="112"/>
      <c r="AG306" s="112"/>
      <c r="AI306" s="113"/>
      <c r="AJ306" s="114"/>
      <c r="AK306" s="113"/>
      <c r="AL306" s="114"/>
      <c r="AM306" s="113"/>
      <c r="AN306" s="114"/>
      <c r="AO306" s="115"/>
      <c r="AP306" s="114"/>
      <c r="AQ306" s="115"/>
      <c r="AR306" s="114"/>
      <c r="AS306" s="115"/>
      <c r="AT306" s="114"/>
      <c r="AU306" s="114"/>
    </row>
    <row r="307">
      <c r="B307" s="105"/>
      <c r="C307" s="106"/>
      <c r="D307" s="107"/>
      <c r="E307" s="108"/>
      <c r="F307" s="109"/>
      <c r="G307" s="109"/>
      <c r="I307" s="110"/>
      <c r="K307" s="110"/>
      <c r="M307" s="110"/>
      <c r="O307" s="110"/>
      <c r="Q307" s="110"/>
      <c r="S307" s="110"/>
      <c r="T307" s="111"/>
      <c r="U307" s="111"/>
      <c r="W307" s="112"/>
      <c r="Y307" s="112"/>
      <c r="AA307" s="112"/>
      <c r="AC307" s="112"/>
      <c r="AE307" s="112"/>
      <c r="AG307" s="112"/>
      <c r="AI307" s="113"/>
      <c r="AJ307" s="114"/>
      <c r="AK307" s="113"/>
      <c r="AL307" s="114"/>
      <c r="AM307" s="113"/>
      <c r="AN307" s="114"/>
      <c r="AO307" s="115"/>
      <c r="AP307" s="114"/>
      <c r="AQ307" s="115"/>
      <c r="AR307" s="114"/>
      <c r="AS307" s="115"/>
      <c r="AT307" s="114"/>
      <c r="AU307" s="114"/>
    </row>
    <row r="308">
      <c r="B308" s="105"/>
      <c r="C308" s="106"/>
      <c r="D308" s="107"/>
      <c r="E308" s="108"/>
      <c r="F308" s="109"/>
      <c r="G308" s="109"/>
      <c r="I308" s="110"/>
      <c r="K308" s="110"/>
      <c r="M308" s="110"/>
      <c r="O308" s="110"/>
      <c r="Q308" s="110"/>
      <c r="S308" s="110"/>
      <c r="T308" s="111"/>
      <c r="U308" s="111"/>
      <c r="W308" s="112"/>
      <c r="Y308" s="112"/>
      <c r="AA308" s="112"/>
      <c r="AC308" s="112"/>
      <c r="AE308" s="112"/>
      <c r="AG308" s="112"/>
      <c r="AI308" s="113"/>
      <c r="AJ308" s="114"/>
      <c r="AK308" s="113"/>
      <c r="AL308" s="114"/>
      <c r="AM308" s="113"/>
      <c r="AN308" s="114"/>
      <c r="AO308" s="115"/>
      <c r="AP308" s="114"/>
      <c r="AQ308" s="115"/>
      <c r="AR308" s="114"/>
      <c r="AS308" s="115"/>
      <c r="AT308" s="114"/>
      <c r="AU308" s="114"/>
    </row>
    <row r="309">
      <c r="B309" s="105"/>
      <c r="C309" s="106"/>
      <c r="D309" s="107"/>
      <c r="E309" s="108"/>
      <c r="F309" s="109"/>
      <c r="G309" s="109"/>
      <c r="I309" s="110"/>
      <c r="K309" s="110"/>
      <c r="M309" s="110"/>
      <c r="O309" s="110"/>
      <c r="Q309" s="110"/>
      <c r="S309" s="110"/>
      <c r="T309" s="111"/>
      <c r="U309" s="111"/>
      <c r="W309" s="112"/>
      <c r="Y309" s="112"/>
      <c r="AA309" s="112"/>
      <c r="AC309" s="112"/>
      <c r="AE309" s="112"/>
      <c r="AG309" s="112"/>
      <c r="AI309" s="113"/>
      <c r="AJ309" s="114"/>
      <c r="AK309" s="113"/>
      <c r="AL309" s="114"/>
      <c r="AM309" s="113"/>
      <c r="AN309" s="114"/>
      <c r="AO309" s="115"/>
      <c r="AP309" s="114"/>
      <c r="AQ309" s="115"/>
      <c r="AR309" s="114"/>
      <c r="AS309" s="115"/>
      <c r="AT309" s="114"/>
      <c r="AU309" s="114"/>
    </row>
    <row r="310">
      <c r="B310" s="105"/>
      <c r="C310" s="106"/>
      <c r="D310" s="107"/>
      <c r="E310" s="108"/>
      <c r="F310" s="109"/>
      <c r="G310" s="109"/>
      <c r="I310" s="110"/>
      <c r="K310" s="110"/>
      <c r="M310" s="110"/>
      <c r="O310" s="110"/>
      <c r="Q310" s="110"/>
      <c r="S310" s="110"/>
      <c r="T310" s="111"/>
      <c r="U310" s="111"/>
      <c r="W310" s="112"/>
      <c r="Y310" s="112"/>
      <c r="AA310" s="112"/>
      <c r="AC310" s="112"/>
      <c r="AE310" s="112"/>
      <c r="AG310" s="112"/>
      <c r="AI310" s="113"/>
      <c r="AJ310" s="114"/>
      <c r="AK310" s="113"/>
      <c r="AL310" s="114"/>
      <c r="AM310" s="113"/>
      <c r="AN310" s="114"/>
      <c r="AO310" s="115"/>
      <c r="AP310" s="114"/>
      <c r="AQ310" s="115"/>
      <c r="AR310" s="114"/>
      <c r="AS310" s="115"/>
      <c r="AT310" s="114"/>
      <c r="AU310" s="114"/>
    </row>
    <row r="311">
      <c r="B311" s="105"/>
      <c r="C311" s="106"/>
      <c r="D311" s="107"/>
      <c r="E311" s="108"/>
      <c r="F311" s="109"/>
      <c r="G311" s="109"/>
      <c r="I311" s="110"/>
      <c r="K311" s="110"/>
      <c r="M311" s="110"/>
      <c r="O311" s="110"/>
      <c r="Q311" s="110"/>
      <c r="S311" s="110"/>
      <c r="T311" s="111"/>
      <c r="U311" s="111"/>
      <c r="W311" s="112"/>
      <c r="Y311" s="112"/>
      <c r="AA311" s="112"/>
      <c r="AC311" s="112"/>
      <c r="AE311" s="112"/>
      <c r="AG311" s="112"/>
      <c r="AI311" s="113"/>
      <c r="AJ311" s="114"/>
      <c r="AK311" s="113"/>
      <c r="AL311" s="114"/>
      <c r="AM311" s="113"/>
      <c r="AN311" s="114"/>
      <c r="AO311" s="115"/>
      <c r="AP311" s="114"/>
      <c r="AQ311" s="115"/>
      <c r="AR311" s="114"/>
      <c r="AS311" s="115"/>
      <c r="AT311" s="114"/>
      <c r="AU311" s="114"/>
    </row>
    <row r="312">
      <c r="B312" s="105"/>
      <c r="C312" s="106"/>
      <c r="D312" s="107"/>
      <c r="E312" s="108"/>
      <c r="F312" s="109"/>
      <c r="G312" s="109"/>
      <c r="I312" s="110"/>
      <c r="K312" s="110"/>
      <c r="M312" s="110"/>
      <c r="O312" s="110"/>
      <c r="Q312" s="110"/>
      <c r="S312" s="110"/>
      <c r="T312" s="111"/>
      <c r="U312" s="111"/>
      <c r="W312" s="112"/>
      <c r="Y312" s="112"/>
      <c r="AA312" s="112"/>
      <c r="AC312" s="112"/>
      <c r="AE312" s="112"/>
      <c r="AG312" s="112"/>
      <c r="AI312" s="113"/>
      <c r="AJ312" s="114"/>
      <c r="AK312" s="113"/>
      <c r="AL312" s="114"/>
      <c r="AM312" s="113"/>
      <c r="AN312" s="114"/>
      <c r="AO312" s="115"/>
      <c r="AP312" s="114"/>
      <c r="AQ312" s="115"/>
      <c r="AR312" s="114"/>
      <c r="AS312" s="115"/>
      <c r="AT312" s="114"/>
      <c r="AU312" s="114"/>
    </row>
    <row r="313">
      <c r="B313" s="105"/>
      <c r="C313" s="106"/>
      <c r="D313" s="107"/>
      <c r="E313" s="108"/>
      <c r="F313" s="109"/>
      <c r="G313" s="109"/>
      <c r="I313" s="110"/>
      <c r="K313" s="110"/>
      <c r="M313" s="110"/>
      <c r="O313" s="110"/>
      <c r="Q313" s="110"/>
      <c r="S313" s="110"/>
      <c r="T313" s="111"/>
      <c r="U313" s="111"/>
      <c r="W313" s="112"/>
      <c r="Y313" s="112"/>
      <c r="AA313" s="112"/>
      <c r="AC313" s="112"/>
      <c r="AE313" s="112"/>
      <c r="AG313" s="112"/>
      <c r="AI313" s="113"/>
      <c r="AJ313" s="114"/>
      <c r="AK313" s="113"/>
      <c r="AL313" s="114"/>
      <c r="AM313" s="113"/>
      <c r="AN313" s="114"/>
      <c r="AO313" s="115"/>
      <c r="AP313" s="114"/>
      <c r="AQ313" s="115"/>
      <c r="AR313" s="114"/>
      <c r="AS313" s="115"/>
      <c r="AT313" s="114"/>
      <c r="AU313" s="114"/>
    </row>
    <row r="314">
      <c r="B314" s="105"/>
      <c r="C314" s="106"/>
      <c r="D314" s="107"/>
      <c r="E314" s="108"/>
      <c r="F314" s="109"/>
      <c r="G314" s="109"/>
      <c r="I314" s="110"/>
      <c r="K314" s="110"/>
      <c r="M314" s="110"/>
      <c r="O314" s="110"/>
      <c r="Q314" s="110"/>
      <c r="S314" s="110"/>
      <c r="T314" s="111"/>
      <c r="U314" s="111"/>
      <c r="W314" s="112"/>
      <c r="Y314" s="112"/>
      <c r="AA314" s="112"/>
      <c r="AC314" s="112"/>
      <c r="AE314" s="112"/>
      <c r="AG314" s="112"/>
      <c r="AI314" s="113"/>
      <c r="AJ314" s="114"/>
      <c r="AK314" s="113"/>
      <c r="AL314" s="114"/>
      <c r="AM314" s="113"/>
      <c r="AN314" s="114"/>
      <c r="AO314" s="115"/>
      <c r="AP314" s="114"/>
      <c r="AQ314" s="115"/>
      <c r="AR314" s="114"/>
      <c r="AS314" s="115"/>
      <c r="AT314" s="114"/>
      <c r="AU314" s="114"/>
    </row>
    <row r="315">
      <c r="B315" s="105"/>
      <c r="C315" s="106"/>
      <c r="D315" s="107"/>
      <c r="E315" s="108"/>
      <c r="F315" s="109"/>
      <c r="G315" s="109"/>
      <c r="I315" s="110"/>
      <c r="K315" s="110"/>
      <c r="M315" s="110"/>
      <c r="O315" s="110"/>
      <c r="Q315" s="110"/>
      <c r="S315" s="110"/>
      <c r="T315" s="111"/>
      <c r="U315" s="111"/>
      <c r="W315" s="112"/>
      <c r="Y315" s="112"/>
      <c r="AA315" s="112"/>
      <c r="AC315" s="112"/>
      <c r="AE315" s="112"/>
      <c r="AG315" s="112"/>
      <c r="AI315" s="113"/>
      <c r="AJ315" s="114"/>
      <c r="AK315" s="113"/>
      <c r="AL315" s="114"/>
      <c r="AM315" s="113"/>
      <c r="AN315" s="114"/>
      <c r="AO315" s="115"/>
      <c r="AP315" s="114"/>
      <c r="AQ315" s="115"/>
      <c r="AR315" s="114"/>
      <c r="AS315" s="115"/>
      <c r="AT315" s="114"/>
      <c r="AU315" s="114"/>
    </row>
    <row r="316">
      <c r="B316" s="105"/>
      <c r="C316" s="106"/>
      <c r="D316" s="107"/>
      <c r="E316" s="108"/>
      <c r="F316" s="109"/>
      <c r="G316" s="109"/>
      <c r="I316" s="110"/>
      <c r="K316" s="110"/>
      <c r="M316" s="110"/>
      <c r="O316" s="110"/>
      <c r="Q316" s="110"/>
      <c r="S316" s="110"/>
      <c r="T316" s="111"/>
      <c r="U316" s="111"/>
      <c r="W316" s="112"/>
      <c r="Y316" s="112"/>
      <c r="AA316" s="112"/>
      <c r="AC316" s="112"/>
      <c r="AE316" s="112"/>
      <c r="AG316" s="112"/>
      <c r="AI316" s="113"/>
      <c r="AJ316" s="114"/>
      <c r="AK316" s="113"/>
      <c r="AL316" s="114"/>
      <c r="AM316" s="113"/>
      <c r="AN316" s="114"/>
      <c r="AO316" s="115"/>
      <c r="AP316" s="114"/>
      <c r="AQ316" s="115"/>
      <c r="AR316" s="114"/>
      <c r="AS316" s="115"/>
      <c r="AT316" s="114"/>
      <c r="AU316" s="114"/>
    </row>
    <row r="317">
      <c r="B317" s="105"/>
      <c r="C317" s="106"/>
      <c r="D317" s="107"/>
      <c r="E317" s="108"/>
      <c r="F317" s="109"/>
      <c r="G317" s="109"/>
      <c r="I317" s="110"/>
      <c r="K317" s="110"/>
      <c r="M317" s="110"/>
      <c r="O317" s="110"/>
      <c r="Q317" s="110"/>
      <c r="S317" s="110"/>
      <c r="T317" s="111"/>
      <c r="U317" s="111"/>
      <c r="W317" s="112"/>
      <c r="Y317" s="112"/>
      <c r="AA317" s="112"/>
      <c r="AC317" s="112"/>
      <c r="AE317" s="112"/>
      <c r="AG317" s="112"/>
      <c r="AI317" s="113"/>
      <c r="AJ317" s="114"/>
      <c r="AK317" s="113"/>
      <c r="AL317" s="114"/>
      <c r="AM317" s="113"/>
      <c r="AN317" s="114"/>
      <c r="AO317" s="115"/>
      <c r="AP317" s="114"/>
      <c r="AQ317" s="115"/>
      <c r="AR317" s="114"/>
      <c r="AS317" s="115"/>
      <c r="AT317" s="114"/>
      <c r="AU317" s="114"/>
    </row>
    <row r="318">
      <c r="B318" s="105"/>
      <c r="C318" s="106"/>
      <c r="D318" s="107"/>
      <c r="E318" s="108"/>
      <c r="F318" s="109"/>
      <c r="G318" s="109"/>
      <c r="I318" s="110"/>
      <c r="K318" s="110"/>
      <c r="M318" s="110"/>
      <c r="O318" s="110"/>
      <c r="Q318" s="110"/>
      <c r="S318" s="110"/>
      <c r="T318" s="111"/>
      <c r="U318" s="111"/>
      <c r="W318" s="112"/>
      <c r="Y318" s="112"/>
      <c r="AA318" s="112"/>
      <c r="AC318" s="112"/>
      <c r="AE318" s="112"/>
      <c r="AG318" s="112"/>
      <c r="AI318" s="113"/>
      <c r="AJ318" s="114"/>
      <c r="AK318" s="113"/>
      <c r="AL318" s="114"/>
      <c r="AM318" s="113"/>
      <c r="AN318" s="114"/>
      <c r="AO318" s="115"/>
      <c r="AP318" s="114"/>
      <c r="AQ318" s="115"/>
      <c r="AR318" s="114"/>
      <c r="AS318" s="115"/>
      <c r="AT318" s="114"/>
      <c r="AU318" s="114"/>
    </row>
    <row r="319">
      <c r="B319" s="105"/>
      <c r="C319" s="106"/>
      <c r="D319" s="107"/>
      <c r="E319" s="108"/>
      <c r="F319" s="109"/>
      <c r="G319" s="109"/>
      <c r="I319" s="110"/>
      <c r="K319" s="110"/>
      <c r="M319" s="110"/>
      <c r="O319" s="110"/>
      <c r="Q319" s="110"/>
      <c r="S319" s="110"/>
      <c r="T319" s="111"/>
      <c r="U319" s="111"/>
      <c r="W319" s="112"/>
      <c r="Y319" s="112"/>
      <c r="AA319" s="112"/>
      <c r="AC319" s="112"/>
      <c r="AE319" s="112"/>
      <c r="AG319" s="112"/>
      <c r="AI319" s="113"/>
      <c r="AJ319" s="114"/>
      <c r="AK319" s="113"/>
      <c r="AL319" s="114"/>
      <c r="AM319" s="113"/>
      <c r="AN319" s="114"/>
      <c r="AO319" s="115"/>
      <c r="AP319" s="114"/>
      <c r="AQ319" s="115"/>
      <c r="AR319" s="114"/>
      <c r="AS319" s="115"/>
      <c r="AT319" s="114"/>
      <c r="AU319" s="114"/>
    </row>
    <row r="320">
      <c r="B320" s="105"/>
      <c r="C320" s="106"/>
      <c r="D320" s="107"/>
      <c r="E320" s="108"/>
      <c r="F320" s="109"/>
      <c r="G320" s="109"/>
      <c r="I320" s="110"/>
      <c r="K320" s="110"/>
      <c r="M320" s="110"/>
      <c r="O320" s="110"/>
      <c r="Q320" s="110"/>
      <c r="S320" s="110"/>
      <c r="T320" s="111"/>
      <c r="U320" s="111"/>
      <c r="W320" s="112"/>
      <c r="Y320" s="112"/>
      <c r="AA320" s="112"/>
      <c r="AC320" s="112"/>
      <c r="AE320" s="112"/>
      <c r="AG320" s="112"/>
      <c r="AI320" s="113"/>
      <c r="AJ320" s="114"/>
      <c r="AK320" s="113"/>
      <c r="AL320" s="114"/>
      <c r="AM320" s="113"/>
      <c r="AN320" s="114"/>
      <c r="AO320" s="115"/>
      <c r="AP320" s="114"/>
      <c r="AQ320" s="115"/>
      <c r="AR320" s="114"/>
      <c r="AS320" s="115"/>
      <c r="AT320" s="114"/>
      <c r="AU320" s="114"/>
    </row>
    <row r="321">
      <c r="B321" s="105"/>
      <c r="C321" s="106"/>
      <c r="D321" s="107"/>
      <c r="E321" s="108"/>
      <c r="F321" s="109"/>
      <c r="G321" s="109"/>
      <c r="I321" s="110"/>
      <c r="K321" s="110"/>
      <c r="M321" s="110"/>
      <c r="O321" s="110"/>
      <c r="Q321" s="110"/>
      <c r="S321" s="110"/>
      <c r="T321" s="111"/>
      <c r="U321" s="111"/>
      <c r="W321" s="112"/>
      <c r="Y321" s="112"/>
      <c r="AA321" s="112"/>
      <c r="AC321" s="112"/>
      <c r="AE321" s="112"/>
      <c r="AG321" s="112"/>
      <c r="AI321" s="113"/>
      <c r="AJ321" s="114"/>
      <c r="AK321" s="113"/>
      <c r="AL321" s="114"/>
      <c r="AM321" s="113"/>
      <c r="AN321" s="114"/>
      <c r="AO321" s="115"/>
      <c r="AP321" s="114"/>
      <c r="AQ321" s="115"/>
      <c r="AR321" s="114"/>
      <c r="AS321" s="115"/>
      <c r="AT321" s="114"/>
      <c r="AU321" s="114"/>
    </row>
    <row r="322">
      <c r="B322" s="105"/>
      <c r="C322" s="106"/>
      <c r="D322" s="107"/>
      <c r="E322" s="108"/>
      <c r="F322" s="109"/>
      <c r="G322" s="109"/>
      <c r="I322" s="110"/>
      <c r="K322" s="110"/>
      <c r="M322" s="110"/>
      <c r="O322" s="110"/>
      <c r="Q322" s="110"/>
      <c r="S322" s="110"/>
      <c r="T322" s="111"/>
      <c r="U322" s="111"/>
      <c r="W322" s="112"/>
      <c r="Y322" s="112"/>
      <c r="AA322" s="112"/>
      <c r="AC322" s="112"/>
      <c r="AE322" s="112"/>
      <c r="AG322" s="112"/>
      <c r="AI322" s="113"/>
      <c r="AJ322" s="114"/>
      <c r="AK322" s="113"/>
      <c r="AL322" s="114"/>
      <c r="AM322" s="113"/>
      <c r="AN322" s="114"/>
      <c r="AO322" s="115"/>
      <c r="AP322" s="114"/>
      <c r="AQ322" s="115"/>
      <c r="AR322" s="114"/>
      <c r="AS322" s="115"/>
      <c r="AT322" s="114"/>
      <c r="AU322" s="114"/>
    </row>
    <row r="323">
      <c r="B323" s="105"/>
      <c r="C323" s="106"/>
      <c r="D323" s="107"/>
      <c r="E323" s="108"/>
      <c r="F323" s="109"/>
      <c r="G323" s="109"/>
      <c r="I323" s="110"/>
      <c r="K323" s="110"/>
      <c r="M323" s="110"/>
      <c r="O323" s="110"/>
      <c r="Q323" s="110"/>
      <c r="S323" s="110"/>
      <c r="T323" s="111"/>
      <c r="U323" s="111"/>
      <c r="W323" s="112"/>
      <c r="Y323" s="112"/>
      <c r="AA323" s="112"/>
      <c r="AC323" s="112"/>
      <c r="AE323" s="112"/>
      <c r="AG323" s="112"/>
      <c r="AI323" s="113"/>
      <c r="AJ323" s="114"/>
      <c r="AK323" s="113"/>
      <c r="AL323" s="114"/>
      <c r="AM323" s="113"/>
      <c r="AN323" s="114"/>
      <c r="AO323" s="115"/>
      <c r="AP323" s="114"/>
      <c r="AQ323" s="115"/>
      <c r="AR323" s="114"/>
      <c r="AS323" s="115"/>
      <c r="AT323" s="114"/>
      <c r="AU323" s="114"/>
    </row>
    <row r="324">
      <c r="B324" s="105"/>
      <c r="C324" s="106"/>
      <c r="D324" s="107"/>
      <c r="E324" s="108"/>
      <c r="F324" s="109"/>
      <c r="G324" s="109"/>
      <c r="I324" s="110"/>
      <c r="K324" s="110"/>
      <c r="M324" s="110"/>
      <c r="O324" s="110"/>
      <c r="Q324" s="110"/>
      <c r="S324" s="110"/>
      <c r="T324" s="111"/>
      <c r="U324" s="111"/>
      <c r="W324" s="112"/>
      <c r="Y324" s="112"/>
      <c r="AA324" s="112"/>
      <c r="AC324" s="112"/>
      <c r="AE324" s="112"/>
      <c r="AG324" s="112"/>
      <c r="AI324" s="113"/>
      <c r="AJ324" s="114"/>
      <c r="AK324" s="113"/>
      <c r="AL324" s="114"/>
      <c r="AM324" s="113"/>
      <c r="AN324" s="114"/>
      <c r="AO324" s="115"/>
      <c r="AP324" s="114"/>
      <c r="AQ324" s="115"/>
      <c r="AR324" s="114"/>
      <c r="AS324" s="115"/>
      <c r="AT324" s="114"/>
      <c r="AU324" s="114"/>
    </row>
    <row r="325">
      <c r="B325" s="105"/>
      <c r="C325" s="106"/>
      <c r="D325" s="107"/>
      <c r="E325" s="108"/>
      <c r="F325" s="109"/>
      <c r="G325" s="109"/>
      <c r="I325" s="110"/>
      <c r="K325" s="110"/>
      <c r="M325" s="110"/>
      <c r="O325" s="110"/>
      <c r="Q325" s="110"/>
      <c r="S325" s="110"/>
      <c r="T325" s="111"/>
      <c r="U325" s="111"/>
      <c r="W325" s="112"/>
      <c r="Y325" s="112"/>
      <c r="AA325" s="112"/>
      <c r="AC325" s="112"/>
      <c r="AE325" s="112"/>
      <c r="AG325" s="112"/>
      <c r="AI325" s="113"/>
      <c r="AJ325" s="114"/>
      <c r="AK325" s="113"/>
      <c r="AL325" s="114"/>
      <c r="AM325" s="113"/>
      <c r="AN325" s="114"/>
      <c r="AO325" s="115"/>
      <c r="AP325" s="114"/>
      <c r="AQ325" s="115"/>
      <c r="AR325" s="114"/>
      <c r="AS325" s="115"/>
      <c r="AT325" s="114"/>
      <c r="AU325" s="114"/>
    </row>
    <row r="326">
      <c r="B326" s="105"/>
      <c r="C326" s="106"/>
      <c r="D326" s="107"/>
      <c r="E326" s="108"/>
      <c r="F326" s="109"/>
      <c r="G326" s="109"/>
      <c r="I326" s="110"/>
      <c r="K326" s="110"/>
      <c r="M326" s="110"/>
      <c r="O326" s="110"/>
      <c r="Q326" s="110"/>
      <c r="S326" s="110"/>
      <c r="T326" s="111"/>
      <c r="U326" s="111"/>
      <c r="W326" s="112"/>
      <c r="Y326" s="112"/>
      <c r="AA326" s="112"/>
      <c r="AC326" s="112"/>
      <c r="AE326" s="112"/>
      <c r="AG326" s="112"/>
      <c r="AI326" s="113"/>
      <c r="AJ326" s="114"/>
      <c r="AK326" s="113"/>
      <c r="AL326" s="114"/>
      <c r="AM326" s="113"/>
      <c r="AN326" s="114"/>
      <c r="AO326" s="115"/>
      <c r="AP326" s="114"/>
      <c r="AQ326" s="115"/>
      <c r="AR326" s="114"/>
      <c r="AS326" s="115"/>
      <c r="AT326" s="114"/>
      <c r="AU326" s="114"/>
    </row>
    <row r="327">
      <c r="B327" s="105"/>
      <c r="C327" s="106"/>
      <c r="D327" s="107"/>
      <c r="E327" s="108"/>
      <c r="F327" s="109"/>
      <c r="G327" s="109"/>
      <c r="I327" s="110"/>
      <c r="K327" s="110"/>
      <c r="M327" s="110"/>
      <c r="O327" s="110"/>
      <c r="Q327" s="110"/>
      <c r="S327" s="110"/>
      <c r="T327" s="111"/>
      <c r="U327" s="111"/>
      <c r="W327" s="112"/>
      <c r="Y327" s="112"/>
      <c r="AA327" s="112"/>
      <c r="AC327" s="112"/>
      <c r="AE327" s="112"/>
      <c r="AG327" s="112"/>
      <c r="AI327" s="113"/>
      <c r="AJ327" s="114"/>
      <c r="AK327" s="113"/>
      <c r="AL327" s="114"/>
      <c r="AM327" s="113"/>
      <c r="AN327" s="114"/>
      <c r="AO327" s="115"/>
      <c r="AP327" s="114"/>
      <c r="AQ327" s="115"/>
      <c r="AR327" s="114"/>
      <c r="AS327" s="115"/>
      <c r="AT327" s="114"/>
      <c r="AU327" s="114"/>
    </row>
    <row r="328">
      <c r="B328" s="105"/>
      <c r="C328" s="106"/>
      <c r="D328" s="107"/>
      <c r="E328" s="108"/>
      <c r="F328" s="109"/>
      <c r="G328" s="109"/>
      <c r="I328" s="110"/>
      <c r="K328" s="110"/>
      <c r="M328" s="110"/>
      <c r="O328" s="110"/>
      <c r="Q328" s="110"/>
      <c r="S328" s="110"/>
      <c r="T328" s="111"/>
      <c r="U328" s="111"/>
      <c r="W328" s="112"/>
      <c r="Y328" s="112"/>
      <c r="AA328" s="112"/>
      <c r="AC328" s="112"/>
      <c r="AE328" s="112"/>
      <c r="AG328" s="112"/>
      <c r="AI328" s="113"/>
      <c r="AJ328" s="114"/>
      <c r="AK328" s="113"/>
      <c r="AL328" s="114"/>
      <c r="AM328" s="113"/>
      <c r="AN328" s="114"/>
      <c r="AO328" s="115"/>
      <c r="AP328" s="114"/>
      <c r="AQ328" s="115"/>
      <c r="AR328" s="114"/>
      <c r="AS328" s="115"/>
      <c r="AT328" s="114"/>
      <c r="AU328" s="114"/>
    </row>
    <row r="329">
      <c r="B329" s="105"/>
      <c r="C329" s="106"/>
      <c r="D329" s="107"/>
      <c r="E329" s="108"/>
      <c r="F329" s="109"/>
      <c r="G329" s="109"/>
      <c r="I329" s="110"/>
      <c r="K329" s="110"/>
      <c r="M329" s="110"/>
      <c r="O329" s="110"/>
      <c r="Q329" s="110"/>
      <c r="S329" s="110"/>
      <c r="T329" s="111"/>
      <c r="U329" s="111"/>
      <c r="W329" s="112"/>
      <c r="Y329" s="112"/>
      <c r="AA329" s="112"/>
      <c r="AC329" s="112"/>
      <c r="AE329" s="112"/>
      <c r="AG329" s="112"/>
      <c r="AI329" s="113"/>
      <c r="AJ329" s="114"/>
      <c r="AK329" s="113"/>
      <c r="AL329" s="114"/>
      <c r="AM329" s="113"/>
      <c r="AN329" s="114"/>
      <c r="AO329" s="115"/>
      <c r="AP329" s="114"/>
      <c r="AQ329" s="115"/>
      <c r="AR329" s="114"/>
      <c r="AS329" s="115"/>
      <c r="AT329" s="114"/>
      <c r="AU329" s="114"/>
    </row>
    <row r="330">
      <c r="B330" s="105"/>
      <c r="C330" s="106"/>
      <c r="D330" s="107"/>
      <c r="E330" s="108"/>
      <c r="F330" s="109"/>
      <c r="G330" s="109"/>
      <c r="I330" s="110"/>
      <c r="K330" s="110"/>
      <c r="M330" s="110"/>
      <c r="O330" s="110"/>
      <c r="Q330" s="110"/>
      <c r="S330" s="110"/>
      <c r="T330" s="111"/>
      <c r="U330" s="111"/>
      <c r="W330" s="112"/>
      <c r="Y330" s="112"/>
      <c r="AA330" s="112"/>
      <c r="AC330" s="112"/>
      <c r="AE330" s="112"/>
      <c r="AG330" s="112"/>
      <c r="AI330" s="113"/>
      <c r="AJ330" s="114"/>
      <c r="AK330" s="113"/>
      <c r="AL330" s="114"/>
      <c r="AM330" s="113"/>
      <c r="AN330" s="114"/>
      <c r="AO330" s="115"/>
      <c r="AP330" s="114"/>
      <c r="AQ330" s="115"/>
      <c r="AR330" s="114"/>
      <c r="AS330" s="115"/>
      <c r="AT330" s="114"/>
      <c r="AU330" s="114"/>
    </row>
    <row r="331">
      <c r="B331" s="105"/>
      <c r="C331" s="106"/>
      <c r="D331" s="107"/>
      <c r="E331" s="108"/>
      <c r="F331" s="109"/>
      <c r="G331" s="109"/>
      <c r="I331" s="110"/>
      <c r="K331" s="110"/>
      <c r="M331" s="110"/>
      <c r="O331" s="110"/>
      <c r="Q331" s="110"/>
      <c r="S331" s="110"/>
      <c r="T331" s="111"/>
      <c r="U331" s="111"/>
      <c r="W331" s="112"/>
      <c r="Y331" s="112"/>
      <c r="AA331" s="112"/>
      <c r="AC331" s="112"/>
      <c r="AE331" s="112"/>
      <c r="AG331" s="112"/>
      <c r="AI331" s="113"/>
      <c r="AJ331" s="114"/>
      <c r="AK331" s="113"/>
      <c r="AL331" s="114"/>
      <c r="AM331" s="113"/>
      <c r="AN331" s="114"/>
      <c r="AO331" s="115"/>
      <c r="AP331" s="114"/>
      <c r="AQ331" s="115"/>
      <c r="AR331" s="114"/>
      <c r="AS331" s="115"/>
      <c r="AT331" s="114"/>
      <c r="AU331" s="114"/>
    </row>
    <row r="332">
      <c r="B332" s="105"/>
      <c r="C332" s="106"/>
      <c r="D332" s="107"/>
      <c r="E332" s="108"/>
      <c r="F332" s="109"/>
      <c r="G332" s="109"/>
      <c r="I332" s="110"/>
      <c r="K332" s="110"/>
      <c r="M332" s="110"/>
      <c r="O332" s="110"/>
      <c r="Q332" s="110"/>
      <c r="S332" s="110"/>
      <c r="T332" s="111"/>
      <c r="U332" s="111"/>
      <c r="W332" s="112"/>
      <c r="Y332" s="112"/>
      <c r="AA332" s="112"/>
      <c r="AC332" s="112"/>
      <c r="AE332" s="112"/>
      <c r="AG332" s="112"/>
      <c r="AI332" s="113"/>
      <c r="AJ332" s="114"/>
      <c r="AK332" s="113"/>
      <c r="AL332" s="114"/>
      <c r="AM332" s="113"/>
      <c r="AN332" s="114"/>
      <c r="AO332" s="115"/>
      <c r="AP332" s="114"/>
      <c r="AQ332" s="115"/>
      <c r="AR332" s="114"/>
      <c r="AS332" s="115"/>
      <c r="AT332" s="114"/>
      <c r="AU332" s="114"/>
    </row>
    <row r="333">
      <c r="B333" s="105"/>
      <c r="C333" s="106"/>
      <c r="D333" s="107"/>
      <c r="E333" s="108"/>
      <c r="F333" s="109"/>
      <c r="G333" s="109"/>
      <c r="I333" s="110"/>
      <c r="K333" s="110"/>
      <c r="M333" s="110"/>
      <c r="O333" s="110"/>
      <c r="Q333" s="110"/>
      <c r="S333" s="110"/>
      <c r="T333" s="111"/>
      <c r="U333" s="111"/>
      <c r="W333" s="112"/>
      <c r="Y333" s="112"/>
      <c r="AA333" s="112"/>
      <c r="AC333" s="112"/>
      <c r="AE333" s="112"/>
      <c r="AG333" s="112"/>
      <c r="AI333" s="113"/>
      <c r="AJ333" s="114"/>
      <c r="AK333" s="113"/>
      <c r="AL333" s="114"/>
      <c r="AM333" s="113"/>
      <c r="AN333" s="114"/>
      <c r="AO333" s="115"/>
      <c r="AP333" s="114"/>
      <c r="AQ333" s="115"/>
      <c r="AR333" s="114"/>
      <c r="AS333" s="115"/>
      <c r="AT333" s="114"/>
      <c r="AU333" s="114"/>
    </row>
    <row r="334">
      <c r="B334" s="105"/>
      <c r="C334" s="106"/>
      <c r="D334" s="107"/>
      <c r="E334" s="108"/>
      <c r="F334" s="109"/>
      <c r="G334" s="109"/>
      <c r="I334" s="110"/>
      <c r="K334" s="110"/>
      <c r="M334" s="110"/>
      <c r="O334" s="110"/>
      <c r="Q334" s="110"/>
      <c r="S334" s="110"/>
      <c r="T334" s="111"/>
      <c r="U334" s="111"/>
      <c r="W334" s="112"/>
      <c r="Y334" s="112"/>
      <c r="AA334" s="112"/>
      <c r="AC334" s="112"/>
      <c r="AE334" s="112"/>
      <c r="AG334" s="112"/>
      <c r="AI334" s="113"/>
      <c r="AJ334" s="114"/>
      <c r="AK334" s="113"/>
      <c r="AL334" s="114"/>
      <c r="AM334" s="113"/>
      <c r="AN334" s="114"/>
      <c r="AO334" s="115"/>
      <c r="AP334" s="114"/>
      <c r="AQ334" s="115"/>
      <c r="AR334" s="114"/>
      <c r="AS334" s="115"/>
      <c r="AT334" s="114"/>
      <c r="AU334" s="114"/>
    </row>
    <row r="335">
      <c r="B335" s="105"/>
      <c r="C335" s="106"/>
      <c r="D335" s="107"/>
      <c r="E335" s="108"/>
      <c r="F335" s="109"/>
      <c r="G335" s="109"/>
      <c r="I335" s="110"/>
      <c r="K335" s="110"/>
      <c r="M335" s="110"/>
      <c r="O335" s="110"/>
      <c r="Q335" s="110"/>
      <c r="S335" s="110"/>
      <c r="T335" s="111"/>
      <c r="U335" s="111"/>
      <c r="W335" s="112"/>
      <c r="Y335" s="112"/>
      <c r="AA335" s="112"/>
      <c r="AC335" s="112"/>
      <c r="AE335" s="112"/>
      <c r="AG335" s="112"/>
      <c r="AI335" s="113"/>
      <c r="AJ335" s="114"/>
      <c r="AK335" s="113"/>
      <c r="AL335" s="114"/>
      <c r="AM335" s="113"/>
      <c r="AN335" s="114"/>
      <c r="AO335" s="115"/>
      <c r="AP335" s="114"/>
      <c r="AQ335" s="115"/>
      <c r="AR335" s="114"/>
      <c r="AS335" s="115"/>
      <c r="AT335" s="114"/>
      <c r="AU335" s="114"/>
    </row>
    <row r="336">
      <c r="B336" s="105"/>
      <c r="C336" s="106"/>
      <c r="D336" s="107"/>
      <c r="E336" s="108"/>
      <c r="F336" s="109"/>
      <c r="G336" s="109"/>
      <c r="I336" s="110"/>
      <c r="K336" s="110"/>
      <c r="M336" s="110"/>
      <c r="O336" s="110"/>
      <c r="Q336" s="110"/>
      <c r="S336" s="110"/>
      <c r="T336" s="111"/>
      <c r="U336" s="111"/>
      <c r="W336" s="112"/>
      <c r="Y336" s="112"/>
      <c r="AA336" s="112"/>
      <c r="AC336" s="112"/>
      <c r="AE336" s="112"/>
      <c r="AG336" s="112"/>
      <c r="AI336" s="113"/>
      <c r="AJ336" s="114"/>
      <c r="AK336" s="113"/>
      <c r="AL336" s="114"/>
      <c r="AM336" s="113"/>
      <c r="AN336" s="114"/>
      <c r="AO336" s="115"/>
      <c r="AP336" s="114"/>
      <c r="AQ336" s="115"/>
      <c r="AR336" s="114"/>
      <c r="AS336" s="115"/>
      <c r="AT336" s="114"/>
      <c r="AU336" s="114"/>
    </row>
    <row r="337">
      <c r="B337" s="105"/>
      <c r="C337" s="106"/>
      <c r="D337" s="107"/>
      <c r="E337" s="108"/>
      <c r="F337" s="109"/>
      <c r="G337" s="109"/>
      <c r="I337" s="110"/>
      <c r="K337" s="110"/>
      <c r="M337" s="110"/>
      <c r="O337" s="110"/>
      <c r="Q337" s="110"/>
      <c r="S337" s="110"/>
      <c r="T337" s="111"/>
      <c r="U337" s="111"/>
      <c r="W337" s="112"/>
      <c r="Y337" s="112"/>
      <c r="AA337" s="112"/>
      <c r="AC337" s="112"/>
      <c r="AE337" s="112"/>
      <c r="AG337" s="112"/>
      <c r="AI337" s="113"/>
      <c r="AJ337" s="114"/>
      <c r="AK337" s="113"/>
      <c r="AL337" s="114"/>
      <c r="AM337" s="113"/>
      <c r="AN337" s="114"/>
      <c r="AO337" s="115"/>
      <c r="AP337" s="114"/>
      <c r="AQ337" s="115"/>
      <c r="AR337" s="114"/>
      <c r="AS337" s="115"/>
      <c r="AT337" s="114"/>
      <c r="AU337" s="114"/>
    </row>
    <row r="338">
      <c r="B338" s="105"/>
      <c r="C338" s="106"/>
      <c r="D338" s="107"/>
      <c r="E338" s="108"/>
      <c r="F338" s="109"/>
      <c r="G338" s="109"/>
      <c r="I338" s="110"/>
      <c r="K338" s="110"/>
      <c r="M338" s="110"/>
      <c r="O338" s="110"/>
      <c r="Q338" s="110"/>
      <c r="S338" s="110"/>
      <c r="T338" s="111"/>
      <c r="U338" s="111"/>
      <c r="W338" s="112"/>
      <c r="Y338" s="112"/>
      <c r="AA338" s="112"/>
      <c r="AC338" s="112"/>
      <c r="AE338" s="112"/>
      <c r="AG338" s="112"/>
      <c r="AI338" s="113"/>
      <c r="AJ338" s="114"/>
      <c r="AK338" s="113"/>
      <c r="AL338" s="114"/>
      <c r="AM338" s="113"/>
      <c r="AN338" s="114"/>
      <c r="AO338" s="115"/>
      <c r="AP338" s="114"/>
      <c r="AQ338" s="115"/>
      <c r="AR338" s="114"/>
      <c r="AS338" s="115"/>
      <c r="AT338" s="114"/>
      <c r="AU338" s="114"/>
    </row>
    <row r="339">
      <c r="B339" s="105"/>
      <c r="C339" s="106"/>
      <c r="D339" s="107"/>
      <c r="E339" s="108"/>
      <c r="F339" s="109"/>
      <c r="G339" s="109"/>
      <c r="I339" s="110"/>
      <c r="K339" s="110"/>
      <c r="M339" s="110"/>
      <c r="O339" s="110"/>
      <c r="Q339" s="110"/>
      <c r="S339" s="110"/>
      <c r="T339" s="111"/>
      <c r="U339" s="111"/>
      <c r="W339" s="112"/>
      <c r="Y339" s="112"/>
      <c r="AA339" s="112"/>
      <c r="AC339" s="112"/>
      <c r="AE339" s="112"/>
      <c r="AG339" s="112"/>
      <c r="AI339" s="113"/>
      <c r="AJ339" s="114"/>
      <c r="AK339" s="113"/>
      <c r="AL339" s="114"/>
      <c r="AM339" s="113"/>
      <c r="AN339" s="114"/>
      <c r="AO339" s="115"/>
      <c r="AP339" s="114"/>
      <c r="AQ339" s="115"/>
      <c r="AR339" s="114"/>
      <c r="AS339" s="115"/>
      <c r="AT339" s="114"/>
      <c r="AU339" s="114"/>
    </row>
    <row r="340">
      <c r="B340" s="105"/>
      <c r="C340" s="106"/>
      <c r="D340" s="107"/>
      <c r="E340" s="108"/>
      <c r="F340" s="109"/>
      <c r="G340" s="109"/>
      <c r="I340" s="110"/>
      <c r="K340" s="110"/>
      <c r="M340" s="110"/>
      <c r="O340" s="110"/>
      <c r="Q340" s="110"/>
      <c r="S340" s="110"/>
      <c r="T340" s="111"/>
      <c r="U340" s="111"/>
      <c r="W340" s="112"/>
      <c r="Y340" s="112"/>
      <c r="AA340" s="112"/>
      <c r="AC340" s="112"/>
      <c r="AE340" s="112"/>
      <c r="AG340" s="112"/>
      <c r="AI340" s="113"/>
      <c r="AJ340" s="114"/>
      <c r="AK340" s="113"/>
      <c r="AL340" s="114"/>
      <c r="AM340" s="113"/>
      <c r="AN340" s="114"/>
      <c r="AO340" s="115"/>
      <c r="AP340" s="114"/>
      <c r="AQ340" s="115"/>
      <c r="AR340" s="114"/>
      <c r="AS340" s="115"/>
      <c r="AT340" s="114"/>
      <c r="AU340" s="114"/>
    </row>
    <row r="341">
      <c r="B341" s="105"/>
      <c r="C341" s="106"/>
      <c r="D341" s="107"/>
      <c r="E341" s="108"/>
      <c r="F341" s="109"/>
      <c r="G341" s="109"/>
      <c r="I341" s="110"/>
      <c r="K341" s="110"/>
      <c r="M341" s="110"/>
      <c r="O341" s="110"/>
      <c r="Q341" s="110"/>
      <c r="S341" s="110"/>
      <c r="T341" s="111"/>
      <c r="U341" s="111"/>
      <c r="W341" s="112"/>
      <c r="Y341" s="112"/>
      <c r="AA341" s="112"/>
      <c r="AC341" s="112"/>
      <c r="AE341" s="112"/>
      <c r="AG341" s="112"/>
      <c r="AI341" s="113"/>
      <c r="AJ341" s="114"/>
      <c r="AK341" s="113"/>
      <c r="AL341" s="114"/>
      <c r="AM341" s="113"/>
      <c r="AN341" s="114"/>
      <c r="AO341" s="115"/>
      <c r="AP341" s="114"/>
      <c r="AQ341" s="115"/>
      <c r="AR341" s="114"/>
      <c r="AS341" s="115"/>
      <c r="AT341" s="114"/>
      <c r="AU341" s="114"/>
    </row>
    <row r="342">
      <c r="B342" s="105"/>
      <c r="C342" s="106"/>
      <c r="D342" s="107"/>
      <c r="E342" s="108"/>
      <c r="F342" s="109"/>
      <c r="G342" s="109"/>
      <c r="I342" s="110"/>
      <c r="K342" s="110"/>
      <c r="M342" s="110"/>
      <c r="O342" s="110"/>
      <c r="Q342" s="110"/>
      <c r="S342" s="110"/>
      <c r="T342" s="111"/>
      <c r="U342" s="111"/>
      <c r="W342" s="112"/>
      <c r="Y342" s="112"/>
      <c r="AA342" s="112"/>
      <c r="AC342" s="112"/>
      <c r="AE342" s="112"/>
      <c r="AG342" s="112"/>
      <c r="AI342" s="113"/>
      <c r="AJ342" s="114"/>
      <c r="AK342" s="113"/>
      <c r="AL342" s="114"/>
      <c r="AM342" s="113"/>
      <c r="AN342" s="114"/>
      <c r="AO342" s="115"/>
      <c r="AP342" s="114"/>
      <c r="AQ342" s="115"/>
      <c r="AR342" s="114"/>
      <c r="AS342" s="115"/>
      <c r="AT342" s="114"/>
      <c r="AU342" s="114"/>
    </row>
    <row r="343">
      <c r="B343" s="105"/>
      <c r="C343" s="106"/>
      <c r="D343" s="107"/>
      <c r="E343" s="108"/>
      <c r="F343" s="109"/>
      <c r="G343" s="109"/>
      <c r="I343" s="110"/>
      <c r="K343" s="110"/>
      <c r="M343" s="110"/>
      <c r="O343" s="110"/>
      <c r="Q343" s="110"/>
      <c r="S343" s="110"/>
      <c r="T343" s="111"/>
      <c r="U343" s="111"/>
      <c r="W343" s="112"/>
      <c r="Y343" s="112"/>
      <c r="AA343" s="112"/>
      <c r="AC343" s="112"/>
      <c r="AE343" s="112"/>
      <c r="AG343" s="112"/>
      <c r="AI343" s="113"/>
      <c r="AJ343" s="114"/>
      <c r="AK343" s="113"/>
      <c r="AL343" s="114"/>
      <c r="AM343" s="113"/>
      <c r="AN343" s="114"/>
      <c r="AO343" s="115"/>
      <c r="AP343" s="114"/>
      <c r="AQ343" s="115"/>
      <c r="AR343" s="114"/>
      <c r="AS343" s="115"/>
      <c r="AT343" s="114"/>
      <c r="AU343" s="114"/>
    </row>
    <row r="344">
      <c r="B344" s="105"/>
      <c r="C344" s="106"/>
      <c r="D344" s="107"/>
      <c r="E344" s="108"/>
      <c r="F344" s="109"/>
      <c r="G344" s="109"/>
      <c r="I344" s="110"/>
      <c r="K344" s="110"/>
      <c r="M344" s="110"/>
      <c r="O344" s="110"/>
      <c r="Q344" s="110"/>
      <c r="S344" s="110"/>
      <c r="T344" s="111"/>
      <c r="U344" s="111"/>
      <c r="W344" s="112"/>
      <c r="Y344" s="112"/>
      <c r="AA344" s="112"/>
      <c r="AC344" s="112"/>
      <c r="AE344" s="112"/>
      <c r="AG344" s="112"/>
      <c r="AI344" s="113"/>
      <c r="AJ344" s="114"/>
      <c r="AK344" s="113"/>
      <c r="AL344" s="114"/>
      <c r="AM344" s="113"/>
      <c r="AN344" s="114"/>
      <c r="AO344" s="115"/>
      <c r="AP344" s="114"/>
      <c r="AQ344" s="115"/>
      <c r="AR344" s="114"/>
      <c r="AS344" s="115"/>
      <c r="AT344" s="114"/>
      <c r="AU344" s="114"/>
    </row>
    <row r="345">
      <c r="B345" s="105"/>
      <c r="C345" s="106"/>
      <c r="D345" s="107"/>
      <c r="E345" s="108"/>
      <c r="F345" s="109"/>
      <c r="G345" s="109"/>
      <c r="I345" s="110"/>
      <c r="K345" s="110"/>
      <c r="M345" s="110"/>
      <c r="O345" s="110"/>
      <c r="Q345" s="110"/>
      <c r="S345" s="110"/>
      <c r="T345" s="111"/>
      <c r="U345" s="111"/>
      <c r="W345" s="112"/>
      <c r="Y345" s="112"/>
      <c r="AA345" s="112"/>
      <c r="AC345" s="112"/>
      <c r="AE345" s="112"/>
      <c r="AG345" s="112"/>
      <c r="AI345" s="113"/>
      <c r="AJ345" s="114"/>
      <c r="AK345" s="113"/>
      <c r="AL345" s="114"/>
      <c r="AM345" s="113"/>
      <c r="AN345" s="114"/>
      <c r="AO345" s="115"/>
      <c r="AP345" s="114"/>
      <c r="AQ345" s="115"/>
      <c r="AR345" s="114"/>
      <c r="AS345" s="115"/>
      <c r="AT345" s="114"/>
      <c r="AU345" s="114"/>
    </row>
    <row r="346">
      <c r="B346" s="105"/>
      <c r="C346" s="106"/>
      <c r="D346" s="107"/>
      <c r="E346" s="108"/>
      <c r="F346" s="109"/>
      <c r="G346" s="109"/>
      <c r="I346" s="110"/>
      <c r="K346" s="110"/>
      <c r="M346" s="110"/>
      <c r="O346" s="110"/>
      <c r="Q346" s="110"/>
      <c r="S346" s="110"/>
      <c r="T346" s="111"/>
      <c r="U346" s="111"/>
      <c r="W346" s="112"/>
      <c r="Y346" s="112"/>
      <c r="AA346" s="112"/>
      <c r="AC346" s="112"/>
      <c r="AE346" s="112"/>
      <c r="AG346" s="112"/>
      <c r="AI346" s="113"/>
      <c r="AJ346" s="114"/>
      <c r="AK346" s="113"/>
      <c r="AL346" s="114"/>
      <c r="AM346" s="113"/>
      <c r="AN346" s="114"/>
      <c r="AO346" s="115"/>
      <c r="AP346" s="114"/>
      <c r="AQ346" s="115"/>
      <c r="AR346" s="114"/>
      <c r="AS346" s="115"/>
      <c r="AT346" s="114"/>
      <c r="AU346" s="114"/>
    </row>
    <row r="347">
      <c r="B347" s="105"/>
      <c r="C347" s="106"/>
      <c r="D347" s="107"/>
      <c r="E347" s="108"/>
      <c r="F347" s="109"/>
      <c r="G347" s="109"/>
      <c r="I347" s="110"/>
      <c r="K347" s="110"/>
      <c r="M347" s="110"/>
      <c r="O347" s="110"/>
      <c r="Q347" s="110"/>
      <c r="S347" s="110"/>
      <c r="T347" s="111"/>
      <c r="U347" s="111"/>
      <c r="W347" s="112"/>
      <c r="Y347" s="112"/>
      <c r="AA347" s="112"/>
      <c r="AC347" s="112"/>
      <c r="AE347" s="112"/>
      <c r="AG347" s="112"/>
      <c r="AI347" s="113"/>
      <c r="AJ347" s="114"/>
      <c r="AK347" s="113"/>
      <c r="AL347" s="114"/>
      <c r="AM347" s="113"/>
      <c r="AN347" s="114"/>
      <c r="AO347" s="115"/>
      <c r="AP347" s="114"/>
      <c r="AQ347" s="115"/>
      <c r="AR347" s="114"/>
      <c r="AS347" s="115"/>
      <c r="AT347" s="114"/>
      <c r="AU347" s="114"/>
    </row>
    <row r="348">
      <c r="B348" s="105"/>
      <c r="C348" s="106"/>
      <c r="D348" s="107"/>
      <c r="E348" s="108"/>
      <c r="F348" s="109"/>
      <c r="G348" s="109"/>
      <c r="I348" s="110"/>
      <c r="K348" s="110"/>
      <c r="M348" s="110"/>
      <c r="O348" s="110"/>
      <c r="Q348" s="110"/>
      <c r="S348" s="110"/>
      <c r="T348" s="111"/>
      <c r="U348" s="111"/>
      <c r="W348" s="112"/>
      <c r="Y348" s="112"/>
      <c r="AA348" s="112"/>
      <c r="AC348" s="112"/>
      <c r="AE348" s="112"/>
      <c r="AG348" s="112"/>
      <c r="AI348" s="113"/>
      <c r="AJ348" s="114"/>
      <c r="AK348" s="113"/>
      <c r="AL348" s="114"/>
      <c r="AM348" s="113"/>
      <c r="AN348" s="114"/>
      <c r="AO348" s="115"/>
      <c r="AP348" s="114"/>
      <c r="AQ348" s="115"/>
      <c r="AR348" s="114"/>
      <c r="AS348" s="115"/>
      <c r="AT348" s="114"/>
      <c r="AU348" s="114"/>
    </row>
    <row r="349">
      <c r="B349" s="105"/>
      <c r="C349" s="106"/>
      <c r="D349" s="107"/>
      <c r="E349" s="108"/>
      <c r="F349" s="109"/>
      <c r="G349" s="109"/>
      <c r="I349" s="110"/>
      <c r="K349" s="110"/>
      <c r="M349" s="110"/>
      <c r="O349" s="110"/>
      <c r="Q349" s="110"/>
      <c r="S349" s="110"/>
      <c r="T349" s="111"/>
      <c r="U349" s="111"/>
      <c r="W349" s="112"/>
      <c r="Y349" s="112"/>
      <c r="AA349" s="112"/>
      <c r="AC349" s="112"/>
      <c r="AE349" s="112"/>
      <c r="AG349" s="112"/>
      <c r="AI349" s="113"/>
      <c r="AJ349" s="114"/>
      <c r="AK349" s="113"/>
      <c r="AL349" s="114"/>
      <c r="AM349" s="113"/>
      <c r="AN349" s="114"/>
      <c r="AO349" s="115"/>
      <c r="AP349" s="114"/>
      <c r="AQ349" s="115"/>
      <c r="AR349" s="114"/>
      <c r="AS349" s="115"/>
      <c r="AT349" s="114"/>
      <c r="AU349" s="114"/>
    </row>
    <row r="350">
      <c r="B350" s="105"/>
      <c r="C350" s="106"/>
      <c r="D350" s="107"/>
      <c r="E350" s="108"/>
      <c r="F350" s="109"/>
      <c r="G350" s="109"/>
      <c r="I350" s="110"/>
      <c r="K350" s="110"/>
      <c r="M350" s="110"/>
      <c r="O350" s="110"/>
      <c r="Q350" s="110"/>
      <c r="S350" s="110"/>
      <c r="T350" s="111"/>
      <c r="U350" s="111"/>
      <c r="W350" s="112"/>
      <c r="Y350" s="112"/>
      <c r="AA350" s="112"/>
      <c r="AC350" s="112"/>
      <c r="AE350" s="112"/>
      <c r="AG350" s="112"/>
      <c r="AI350" s="113"/>
      <c r="AJ350" s="114"/>
      <c r="AK350" s="113"/>
      <c r="AL350" s="114"/>
      <c r="AM350" s="113"/>
      <c r="AN350" s="114"/>
      <c r="AO350" s="115"/>
      <c r="AP350" s="114"/>
      <c r="AQ350" s="115"/>
      <c r="AR350" s="114"/>
      <c r="AS350" s="115"/>
      <c r="AT350" s="114"/>
      <c r="AU350" s="114"/>
    </row>
    <row r="351">
      <c r="B351" s="105"/>
      <c r="C351" s="106"/>
      <c r="D351" s="107"/>
      <c r="E351" s="108"/>
      <c r="F351" s="109"/>
      <c r="G351" s="109"/>
      <c r="I351" s="110"/>
      <c r="K351" s="110"/>
      <c r="M351" s="110"/>
      <c r="O351" s="110"/>
      <c r="Q351" s="110"/>
      <c r="S351" s="110"/>
      <c r="T351" s="111"/>
      <c r="U351" s="111"/>
      <c r="W351" s="112"/>
      <c r="Y351" s="112"/>
      <c r="AA351" s="112"/>
      <c r="AC351" s="112"/>
      <c r="AE351" s="112"/>
      <c r="AG351" s="112"/>
      <c r="AI351" s="113"/>
      <c r="AJ351" s="114"/>
      <c r="AK351" s="113"/>
      <c r="AL351" s="114"/>
      <c r="AM351" s="113"/>
      <c r="AN351" s="114"/>
      <c r="AO351" s="115"/>
      <c r="AP351" s="114"/>
      <c r="AQ351" s="115"/>
      <c r="AR351" s="114"/>
      <c r="AS351" s="115"/>
      <c r="AT351" s="114"/>
      <c r="AU351" s="114"/>
    </row>
    <row r="352">
      <c r="B352" s="105"/>
      <c r="C352" s="106"/>
      <c r="D352" s="107"/>
      <c r="E352" s="108"/>
      <c r="F352" s="109"/>
      <c r="G352" s="109"/>
      <c r="I352" s="110"/>
      <c r="K352" s="110"/>
      <c r="M352" s="110"/>
      <c r="O352" s="110"/>
      <c r="Q352" s="110"/>
      <c r="S352" s="110"/>
      <c r="T352" s="111"/>
      <c r="U352" s="111"/>
      <c r="W352" s="112"/>
      <c r="Y352" s="112"/>
      <c r="AA352" s="112"/>
      <c r="AC352" s="112"/>
      <c r="AE352" s="112"/>
      <c r="AG352" s="112"/>
      <c r="AI352" s="113"/>
      <c r="AJ352" s="114"/>
      <c r="AK352" s="113"/>
      <c r="AL352" s="114"/>
      <c r="AM352" s="113"/>
      <c r="AN352" s="114"/>
      <c r="AO352" s="115"/>
      <c r="AP352" s="114"/>
      <c r="AQ352" s="115"/>
      <c r="AR352" s="114"/>
      <c r="AS352" s="115"/>
      <c r="AT352" s="114"/>
      <c r="AU352" s="114"/>
    </row>
    <row r="353">
      <c r="B353" s="105"/>
      <c r="C353" s="106"/>
      <c r="D353" s="107"/>
      <c r="E353" s="108"/>
      <c r="F353" s="109"/>
      <c r="G353" s="109"/>
      <c r="I353" s="110"/>
      <c r="K353" s="110"/>
      <c r="M353" s="110"/>
      <c r="O353" s="110"/>
      <c r="Q353" s="110"/>
      <c r="S353" s="110"/>
      <c r="T353" s="111"/>
      <c r="U353" s="111"/>
      <c r="W353" s="112"/>
      <c r="Y353" s="112"/>
      <c r="AA353" s="112"/>
      <c r="AC353" s="112"/>
      <c r="AE353" s="112"/>
      <c r="AG353" s="112"/>
      <c r="AI353" s="113"/>
      <c r="AJ353" s="114"/>
      <c r="AK353" s="113"/>
      <c r="AL353" s="114"/>
      <c r="AM353" s="113"/>
      <c r="AN353" s="114"/>
      <c r="AO353" s="115"/>
      <c r="AP353" s="114"/>
      <c r="AQ353" s="115"/>
      <c r="AR353" s="114"/>
      <c r="AS353" s="115"/>
      <c r="AT353" s="114"/>
      <c r="AU353" s="114"/>
    </row>
    <row r="354">
      <c r="B354" s="105"/>
      <c r="C354" s="106"/>
      <c r="D354" s="107"/>
      <c r="E354" s="108"/>
      <c r="F354" s="109"/>
      <c r="G354" s="109"/>
      <c r="I354" s="110"/>
      <c r="K354" s="110"/>
      <c r="M354" s="110"/>
      <c r="O354" s="110"/>
      <c r="Q354" s="110"/>
      <c r="S354" s="110"/>
      <c r="T354" s="111"/>
      <c r="U354" s="111"/>
      <c r="W354" s="112"/>
      <c r="Y354" s="112"/>
      <c r="AA354" s="112"/>
      <c r="AC354" s="112"/>
      <c r="AE354" s="112"/>
      <c r="AG354" s="112"/>
      <c r="AI354" s="113"/>
      <c r="AJ354" s="114"/>
      <c r="AK354" s="113"/>
      <c r="AL354" s="114"/>
      <c r="AM354" s="113"/>
      <c r="AN354" s="114"/>
      <c r="AO354" s="115"/>
      <c r="AP354" s="114"/>
      <c r="AQ354" s="115"/>
      <c r="AR354" s="114"/>
      <c r="AS354" s="115"/>
      <c r="AT354" s="114"/>
      <c r="AU354" s="114"/>
    </row>
    <row r="355">
      <c r="B355" s="105"/>
      <c r="C355" s="106"/>
      <c r="D355" s="107"/>
      <c r="E355" s="108"/>
      <c r="F355" s="109"/>
      <c r="G355" s="109"/>
      <c r="I355" s="110"/>
      <c r="K355" s="110"/>
      <c r="M355" s="110"/>
      <c r="O355" s="110"/>
      <c r="Q355" s="110"/>
      <c r="S355" s="110"/>
      <c r="T355" s="111"/>
      <c r="U355" s="111"/>
      <c r="W355" s="112"/>
      <c r="Y355" s="112"/>
      <c r="AA355" s="112"/>
      <c r="AC355" s="112"/>
      <c r="AE355" s="112"/>
      <c r="AG355" s="112"/>
      <c r="AI355" s="113"/>
      <c r="AJ355" s="114"/>
      <c r="AK355" s="113"/>
      <c r="AL355" s="114"/>
      <c r="AM355" s="113"/>
      <c r="AN355" s="114"/>
      <c r="AO355" s="115"/>
      <c r="AP355" s="114"/>
      <c r="AQ355" s="115"/>
      <c r="AR355" s="114"/>
      <c r="AS355" s="115"/>
      <c r="AT355" s="114"/>
      <c r="AU355" s="114"/>
    </row>
    <row r="356">
      <c r="B356" s="105"/>
      <c r="C356" s="106"/>
      <c r="D356" s="107"/>
      <c r="E356" s="108"/>
      <c r="F356" s="109"/>
      <c r="G356" s="109"/>
      <c r="I356" s="110"/>
      <c r="K356" s="110"/>
      <c r="M356" s="110"/>
      <c r="O356" s="110"/>
      <c r="Q356" s="110"/>
      <c r="S356" s="110"/>
      <c r="T356" s="111"/>
      <c r="U356" s="111"/>
      <c r="W356" s="112"/>
      <c r="Y356" s="112"/>
      <c r="AA356" s="112"/>
      <c r="AC356" s="112"/>
      <c r="AE356" s="112"/>
      <c r="AG356" s="112"/>
      <c r="AI356" s="113"/>
      <c r="AJ356" s="114"/>
      <c r="AK356" s="113"/>
      <c r="AL356" s="114"/>
      <c r="AM356" s="113"/>
      <c r="AN356" s="114"/>
      <c r="AO356" s="115"/>
      <c r="AP356" s="114"/>
      <c r="AQ356" s="115"/>
      <c r="AR356" s="114"/>
      <c r="AS356" s="115"/>
      <c r="AT356" s="114"/>
      <c r="AU356" s="114"/>
    </row>
    <row r="357">
      <c r="B357" s="105"/>
      <c r="C357" s="106"/>
      <c r="D357" s="107"/>
      <c r="E357" s="108"/>
      <c r="F357" s="109"/>
      <c r="G357" s="109"/>
      <c r="I357" s="110"/>
      <c r="K357" s="110"/>
      <c r="M357" s="110"/>
      <c r="O357" s="110"/>
      <c r="Q357" s="110"/>
      <c r="S357" s="110"/>
      <c r="T357" s="111"/>
      <c r="U357" s="111"/>
      <c r="W357" s="112"/>
      <c r="Y357" s="112"/>
      <c r="AA357" s="112"/>
      <c r="AC357" s="112"/>
      <c r="AE357" s="112"/>
      <c r="AG357" s="112"/>
      <c r="AI357" s="113"/>
      <c r="AJ357" s="114"/>
      <c r="AK357" s="113"/>
      <c r="AL357" s="114"/>
      <c r="AM357" s="113"/>
      <c r="AN357" s="114"/>
      <c r="AO357" s="115"/>
      <c r="AP357" s="114"/>
      <c r="AQ357" s="115"/>
      <c r="AR357" s="114"/>
      <c r="AS357" s="115"/>
      <c r="AT357" s="114"/>
      <c r="AU357" s="114"/>
    </row>
    <row r="358">
      <c r="B358" s="105"/>
      <c r="C358" s="106"/>
      <c r="D358" s="107"/>
      <c r="E358" s="108"/>
      <c r="F358" s="109"/>
      <c r="G358" s="109"/>
      <c r="I358" s="110"/>
      <c r="K358" s="110"/>
      <c r="M358" s="110"/>
      <c r="O358" s="110"/>
      <c r="Q358" s="110"/>
      <c r="S358" s="110"/>
      <c r="T358" s="111"/>
      <c r="U358" s="111"/>
      <c r="W358" s="112"/>
      <c r="Y358" s="112"/>
      <c r="AA358" s="112"/>
      <c r="AC358" s="112"/>
      <c r="AE358" s="112"/>
      <c r="AG358" s="112"/>
      <c r="AI358" s="113"/>
      <c r="AJ358" s="114"/>
      <c r="AK358" s="113"/>
      <c r="AL358" s="114"/>
      <c r="AM358" s="113"/>
      <c r="AN358" s="114"/>
      <c r="AO358" s="115"/>
      <c r="AP358" s="114"/>
      <c r="AQ358" s="115"/>
      <c r="AR358" s="114"/>
      <c r="AS358" s="115"/>
      <c r="AT358" s="114"/>
      <c r="AU358" s="114"/>
    </row>
    <row r="359">
      <c r="B359" s="105"/>
      <c r="C359" s="106"/>
      <c r="D359" s="107"/>
      <c r="E359" s="108"/>
      <c r="F359" s="109"/>
      <c r="G359" s="109"/>
      <c r="I359" s="110"/>
      <c r="K359" s="110"/>
      <c r="M359" s="110"/>
      <c r="O359" s="110"/>
      <c r="Q359" s="110"/>
      <c r="S359" s="110"/>
      <c r="T359" s="111"/>
      <c r="U359" s="111"/>
      <c r="W359" s="112"/>
      <c r="Y359" s="112"/>
      <c r="AA359" s="112"/>
      <c r="AC359" s="112"/>
      <c r="AE359" s="112"/>
      <c r="AG359" s="112"/>
      <c r="AI359" s="113"/>
      <c r="AJ359" s="114"/>
      <c r="AK359" s="113"/>
      <c r="AL359" s="114"/>
      <c r="AM359" s="113"/>
      <c r="AN359" s="114"/>
      <c r="AO359" s="115"/>
      <c r="AP359" s="114"/>
      <c r="AQ359" s="115"/>
      <c r="AR359" s="114"/>
      <c r="AS359" s="115"/>
      <c r="AT359" s="114"/>
      <c r="AU359" s="114"/>
    </row>
    <row r="360">
      <c r="B360" s="105"/>
      <c r="C360" s="106"/>
      <c r="D360" s="107"/>
      <c r="E360" s="108"/>
      <c r="F360" s="109"/>
      <c r="G360" s="109"/>
      <c r="I360" s="110"/>
      <c r="K360" s="110"/>
      <c r="M360" s="110"/>
      <c r="O360" s="110"/>
      <c r="Q360" s="110"/>
      <c r="S360" s="110"/>
      <c r="T360" s="111"/>
      <c r="U360" s="111"/>
      <c r="W360" s="112"/>
      <c r="Y360" s="112"/>
      <c r="AA360" s="112"/>
      <c r="AC360" s="112"/>
      <c r="AE360" s="112"/>
      <c r="AG360" s="112"/>
      <c r="AI360" s="113"/>
      <c r="AJ360" s="114"/>
      <c r="AK360" s="113"/>
      <c r="AL360" s="114"/>
      <c r="AM360" s="113"/>
      <c r="AN360" s="114"/>
      <c r="AO360" s="115"/>
      <c r="AP360" s="114"/>
      <c r="AQ360" s="115"/>
      <c r="AR360" s="114"/>
      <c r="AS360" s="115"/>
      <c r="AT360" s="114"/>
      <c r="AU360" s="114"/>
    </row>
    <row r="361">
      <c r="B361" s="105"/>
      <c r="C361" s="106"/>
      <c r="D361" s="107"/>
      <c r="E361" s="108"/>
      <c r="F361" s="109"/>
      <c r="G361" s="109"/>
      <c r="I361" s="110"/>
      <c r="K361" s="110"/>
      <c r="M361" s="110"/>
      <c r="O361" s="110"/>
      <c r="Q361" s="110"/>
      <c r="S361" s="110"/>
      <c r="T361" s="111"/>
      <c r="U361" s="111"/>
      <c r="W361" s="112"/>
      <c r="Y361" s="112"/>
      <c r="AA361" s="112"/>
      <c r="AC361" s="112"/>
      <c r="AE361" s="112"/>
      <c r="AG361" s="112"/>
      <c r="AI361" s="113"/>
      <c r="AJ361" s="114"/>
      <c r="AK361" s="113"/>
      <c r="AL361" s="114"/>
      <c r="AM361" s="113"/>
      <c r="AN361" s="114"/>
      <c r="AO361" s="115"/>
      <c r="AP361" s="114"/>
      <c r="AQ361" s="115"/>
      <c r="AR361" s="114"/>
      <c r="AS361" s="115"/>
      <c r="AT361" s="114"/>
      <c r="AU361" s="114"/>
    </row>
    <row r="362">
      <c r="B362" s="105"/>
      <c r="C362" s="106"/>
      <c r="D362" s="107"/>
      <c r="E362" s="108"/>
      <c r="F362" s="109"/>
      <c r="G362" s="109"/>
      <c r="I362" s="110"/>
      <c r="K362" s="110"/>
      <c r="M362" s="110"/>
      <c r="O362" s="110"/>
      <c r="Q362" s="110"/>
      <c r="S362" s="110"/>
      <c r="T362" s="111"/>
      <c r="U362" s="111"/>
      <c r="W362" s="112"/>
      <c r="Y362" s="112"/>
      <c r="AA362" s="112"/>
      <c r="AC362" s="112"/>
      <c r="AE362" s="112"/>
      <c r="AG362" s="112"/>
      <c r="AI362" s="113"/>
      <c r="AJ362" s="114"/>
      <c r="AK362" s="113"/>
      <c r="AL362" s="114"/>
      <c r="AM362" s="113"/>
      <c r="AN362" s="114"/>
      <c r="AO362" s="115"/>
      <c r="AP362" s="114"/>
      <c r="AQ362" s="115"/>
      <c r="AR362" s="114"/>
      <c r="AS362" s="115"/>
      <c r="AT362" s="114"/>
      <c r="AU362" s="114"/>
    </row>
    <row r="363">
      <c r="B363" s="105"/>
      <c r="C363" s="106"/>
      <c r="D363" s="107"/>
      <c r="E363" s="108"/>
      <c r="F363" s="109"/>
      <c r="G363" s="109"/>
      <c r="I363" s="110"/>
      <c r="K363" s="110"/>
      <c r="M363" s="110"/>
      <c r="O363" s="110"/>
      <c r="Q363" s="110"/>
      <c r="S363" s="110"/>
      <c r="T363" s="111"/>
      <c r="U363" s="111"/>
      <c r="W363" s="112"/>
      <c r="Y363" s="112"/>
      <c r="AA363" s="112"/>
      <c r="AC363" s="112"/>
      <c r="AE363" s="112"/>
      <c r="AG363" s="112"/>
      <c r="AI363" s="113"/>
      <c r="AJ363" s="114"/>
      <c r="AK363" s="113"/>
      <c r="AL363" s="114"/>
      <c r="AM363" s="113"/>
      <c r="AN363" s="114"/>
      <c r="AO363" s="115"/>
      <c r="AP363" s="114"/>
      <c r="AQ363" s="115"/>
      <c r="AR363" s="114"/>
      <c r="AS363" s="115"/>
      <c r="AT363" s="114"/>
      <c r="AU363" s="114"/>
    </row>
    <row r="364">
      <c r="B364" s="105"/>
      <c r="C364" s="106"/>
      <c r="D364" s="107"/>
      <c r="E364" s="108"/>
      <c r="F364" s="109"/>
      <c r="G364" s="109"/>
      <c r="I364" s="110"/>
      <c r="K364" s="110"/>
      <c r="M364" s="110"/>
      <c r="O364" s="110"/>
      <c r="Q364" s="110"/>
      <c r="S364" s="110"/>
      <c r="T364" s="111"/>
      <c r="U364" s="111"/>
      <c r="W364" s="112"/>
      <c r="Y364" s="112"/>
      <c r="AA364" s="112"/>
      <c r="AC364" s="112"/>
      <c r="AE364" s="112"/>
      <c r="AG364" s="112"/>
      <c r="AI364" s="113"/>
      <c r="AJ364" s="114"/>
      <c r="AK364" s="113"/>
      <c r="AL364" s="114"/>
      <c r="AM364" s="113"/>
      <c r="AN364" s="114"/>
      <c r="AO364" s="115"/>
      <c r="AP364" s="114"/>
      <c r="AQ364" s="115"/>
      <c r="AR364" s="114"/>
      <c r="AS364" s="115"/>
      <c r="AT364" s="114"/>
      <c r="AU364" s="114"/>
    </row>
    <row r="365">
      <c r="B365" s="105"/>
      <c r="C365" s="106"/>
      <c r="D365" s="107"/>
      <c r="E365" s="108"/>
      <c r="F365" s="109"/>
      <c r="G365" s="109"/>
      <c r="I365" s="110"/>
      <c r="K365" s="110"/>
      <c r="M365" s="110"/>
      <c r="O365" s="110"/>
      <c r="Q365" s="110"/>
      <c r="S365" s="110"/>
      <c r="T365" s="111"/>
      <c r="U365" s="111"/>
      <c r="W365" s="112"/>
      <c r="Y365" s="112"/>
      <c r="AA365" s="112"/>
      <c r="AC365" s="112"/>
      <c r="AE365" s="112"/>
      <c r="AG365" s="112"/>
      <c r="AI365" s="113"/>
      <c r="AJ365" s="114"/>
      <c r="AK365" s="113"/>
      <c r="AL365" s="114"/>
      <c r="AM365" s="113"/>
      <c r="AN365" s="114"/>
      <c r="AO365" s="115"/>
      <c r="AP365" s="114"/>
      <c r="AQ365" s="115"/>
      <c r="AR365" s="114"/>
      <c r="AS365" s="115"/>
      <c r="AT365" s="114"/>
      <c r="AU365" s="114"/>
    </row>
    <row r="366">
      <c r="B366" s="105"/>
      <c r="C366" s="106"/>
      <c r="D366" s="107"/>
      <c r="E366" s="108"/>
      <c r="F366" s="109"/>
      <c r="G366" s="109"/>
      <c r="I366" s="110"/>
      <c r="K366" s="110"/>
      <c r="M366" s="110"/>
      <c r="O366" s="110"/>
      <c r="Q366" s="110"/>
      <c r="S366" s="110"/>
      <c r="T366" s="111"/>
      <c r="U366" s="111"/>
      <c r="W366" s="112"/>
      <c r="Y366" s="112"/>
      <c r="AA366" s="112"/>
      <c r="AC366" s="112"/>
      <c r="AE366" s="112"/>
      <c r="AG366" s="112"/>
      <c r="AI366" s="113"/>
      <c r="AJ366" s="114"/>
      <c r="AK366" s="113"/>
      <c r="AL366" s="114"/>
      <c r="AM366" s="113"/>
      <c r="AN366" s="114"/>
      <c r="AO366" s="115"/>
      <c r="AP366" s="114"/>
      <c r="AQ366" s="115"/>
      <c r="AR366" s="114"/>
      <c r="AS366" s="115"/>
      <c r="AT366" s="114"/>
      <c r="AU366" s="114"/>
    </row>
    <row r="367">
      <c r="B367" s="105"/>
      <c r="C367" s="106"/>
      <c r="D367" s="107"/>
      <c r="E367" s="108"/>
      <c r="F367" s="109"/>
      <c r="G367" s="109"/>
      <c r="I367" s="110"/>
      <c r="K367" s="110"/>
      <c r="M367" s="110"/>
      <c r="O367" s="110"/>
      <c r="Q367" s="110"/>
      <c r="S367" s="110"/>
      <c r="T367" s="111"/>
      <c r="U367" s="111"/>
      <c r="W367" s="112"/>
      <c r="Y367" s="112"/>
      <c r="AA367" s="112"/>
      <c r="AC367" s="112"/>
      <c r="AE367" s="112"/>
      <c r="AG367" s="112"/>
      <c r="AI367" s="113"/>
      <c r="AJ367" s="114"/>
      <c r="AK367" s="113"/>
      <c r="AL367" s="114"/>
      <c r="AM367" s="113"/>
      <c r="AN367" s="114"/>
      <c r="AO367" s="115"/>
      <c r="AP367" s="114"/>
      <c r="AQ367" s="115"/>
      <c r="AR367" s="114"/>
      <c r="AS367" s="115"/>
      <c r="AT367" s="114"/>
      <c r="AU367" s="114"/>
    </row>
    <row r="368">
      <c r="B368" s="105"/>
      <c r="C368" s="106"/>
      <c r="D368" s="107"/>
      <c r="E368" s="108"/>
      <c r="F368" s="109"/>
      <c r="G368" s="109"/>
      <c r="I368" s="110"/>
      <c r="K368" s="110"/>
      <c r="M368" s="110"/>
      <c r="O368" s="110"/>
      <c r="Q368" s="110"/>
      <c r="S368" s="110"/>
      <c r="T368" s="111"/>
      <c r="U368" s="111"/>
      <c r="W368" s="112"/>
      <c r="Y368" s="112"/>
      <c r="AA368" s="112"/>
      <c r="AC368" s="112"/>
      <c r="AE368" s="112"/>
      <c r="AG368" s="112"/>
      <c r="AI368" s="113"/>
      <c r="AJ368" s="114"/>
      <c r="AK368" s="113"/>
      <c r="AL368" s="114"/>
      <c r="AM368" s="113"/>
      <c r="AN368" s="114"/>
      <c r="AO368" s="115"/>
      <c r="AP368" s="114"/>
      <c r="AQ368" s="115"/>
      <c r="AR368" s="114"/>
      <c r="AS368" s="115"/>
      <c r="AT368" s="114"/>
      <c r="AU368" s="114"/>
    </row>
    <row r="369">
      <c r="B369" s="105"/>
      <c r="C369" s="106"/>
      <c r="D369" s="107"/>
      <c r="E369" s="108"/>
      <c r="F369" s="109"/>
      <c r="G369" s="109"/>
      <c r="I369" s="110"/>
      <c r="K369" s="110"/>
      <c r="M369" s="110"/>
      <c r="O369" s="110"/>
      <c r="Q369" s="110"/>
      <c r="S369" s="110"/>
      <c r="T369" s="111"/>
      <c r="U369" s="111"/>
      <c r="W369" s="112"/>
      <c r="Y369" s="112"/>
      <c r="AA369" s="112"/>
      <c r="AC369" s="112"/>
      <c r="AE369" s="112"/>
      <c r="AG369" s="112"/>
      <c r="AI369" s="113"/>
      <c r="AJ369" s="114"/>
      <c r="AK369" s="113"/>
      <c r="AL369" s="114"/>
      <c r="AM369" s="113"/>
      <c r="AN369" s="114"/>
      <c r="AO369" s="115"/>
      <c r="AP369" s="114"/>
      <c r="AQ369" s="115"/>
      <c r="AR369" s="114"/>
      <c r="AS369" s="115"/>
      <c r="AT369" s="114"/>
      <c r="AU369" s="114"/>
    </row>
    <row r="370">
      <c r="B370" s="105"/>
      <c r="C370" s="106"/>
      <c r="D370" s="107"/>
      <c r="E370" s="108"/>
      <c r="F370" s="109"/>
      <c r="G370" s="109"/>
      <c r="I370" s="110"/>
      <c r="K370" s="110"/>
      <c r="M370" s="110"/>
      <c r="O370" s="110"/>
      <c r="Q370" s="110"/>
      <c r="S370" s="110"/>
      <c r="T370" s="111"/>
      <c r="U370" s="111"/>
      <c r="W370" s="112"/>
      <c r="Y370" s="112"/>
      <c r="AA370" s="112"/>
      <c r="AC370" s="112"/>
      <c r="AE370" s="112"/>
      <c r="AG370" s="112"/>
      <c r="AI370" s="113"/>
      <c r="AJ370" s="114"/>
      <c r="AK370" s="113"/>
      <c r="AL370" s="114"/>
      <c r="AM370" s="113"/>
      <c r="AN370" s="114"/>
      <c r="AO370" s="115"/>
      <c r="AP370" s="114"/>
      <c r="AQ370" s="115"/>
      <c r="AR370" s="114"/>
      <c r="AS370" s="115"/>
      <c r="AT370" s="114"/>
      <c r="AU370" s="114"/>
    </row>
    <row r="371">
      <c r="B371" s="105"/>
      <c r="C371" s="106"/>
      <c r="D371" s="107"/>
      <c r="E371" s="108"/>
      <c r="F371" s="109"/>
      <c r="G371" s="109"/>
      <c r="I371" s="110"/>
      <c r="K371" s="110"/>
      <c r="M371" s="110"/>
      <c r="O371" s="110"/>
      <c r="Q371" s="110"/>
      <c r="S371" s="110"/>
      <c r="T371" s="111"/>
      <c r="U371" s="111"/>
      <c r="W371" s="112"/>
      <c r="Y371" s="112"/>
      <c r="AA371" s="112"/>
      <c r="AC371" s="112"/>
      <c r="AE371" s="112"/>
      <c r="AG371" s="112"/>
      <c r="AI371" s="113"/>
      <c r="AJ371" s="114"/>
      <c r="AK371" s="113"/>
      <c r="AL371" s="114"/>
      <c r="AM371" s="113"/>
      <c r="AN371" s="114"/>
      <c r="AO371" s="115"/>
      <c r="AP371" s="114"/>
      <c r="AQ371" s="115"/>
      <c r="AR371" s="114"/>
      <c r="AS371" s="115"/>
      <c r="AT371" s="114"/>
      <c r="AU371" s="114"/>
    </row>
    <row r="372">
      <c r="B372" s="105"/>
      <c r="C372" s="106"/>
      <c r="D372" s="107"/>
      <c r="E372" s="108"/>
      <c r="F372" s="109"/>
      <c r="G372" s="109"/>
      <c r="I372" s="110"/>
      <c r="K372" s="110"/>
      <c r="M372" s="110"/>
      <c r="O372" s="110"/>
      <c r="Q372" s="110"/>
      <c r="S372" s="110"/>
      <c r="T372" s="111"/>
      <c r="U372" s="111"/>
      <c r="W372" s="112"/>
      <c r="Y372" s="112"/>
      <c r="AA372" s="112"/>
      <c r="AC372" s="112"/>
      <c r="AE372" s="112"/>
      <c r="AG372" s="112"/>
      <c r="AI372" s="113"/>
      <c r="AJ372" s="114"/>
      <c r="AK372" s="113"/>
      <c r="AL372" s="114"/>
      <c r="AM372" s="113"/>
      <c r="AN372" s="114"/>
      <c r="AO372" s="115"/>
      <c r="AP372" s="114"/>
      <c r="AQ372" s="115"/>
      <c r="AR372" s="114"/>
      <c r="AS372" s="115"/>
      <c r="AT372" s="114"/>
      <c r="AU372" s="114"/>
    </row>
    <row r="373">
      <c r="B373" s="105"/>
      <c r="C373" s="106"/>
      <c r="D373" s="107"/>
      <c r="E373" s="108"/>
      <c r="F373" s="109"/>
      <c r="G373" s="109"/>
      <c r="I373" s="110"/>
      <c r="K373" s="110"/>
      <c r="M373" s="110"/>
      <c r="O373" s="110"/>
      <c r="Q373" s="110"/>
      <c r="S373" s="110"/>
      <c r="T373" s="111"/>
      <c r="U373" s="111"/>
      <c r="W373" s="112"/>
      <c r="Y373" s="112"/>
      <c r="AA373" s="112"/>
      <c r="AC373" s="112"/>
      <c r="AE373" s="112"/>
      <c r="AG373" s="112"/>
      <c r="AI373" s="113"/>
      <c r="AJ373" s="114"/>
      <c r="AK373" s="113"/>
      <c r="AL373" s="114"/>
      <c r="AM373" s="113"/>
      <c r="AN373" s="114"/>
      <c r="AO373" s="115"/>
      <c r="AP373" s="114"/>
      <c r="AQ373" s="115"/>
      <c r="AR373" s="114"/>
      <c r="AS373" s="115"/>
      <c r="AT373" s="114"/>
      <c r="AU373" s="114"/>
    </row>
    <row r="374">
      <c r="B374" s="105"/>
      <c r="C374" s="106"/>
      <c r="D374" s="107"/>
      <c r="E374" s="108"/>
      <c r="F374" s="109"/>
      <c r="G374" s="109"/>
      <c r="I374" s="110"/>
      <c r="K374" s="110"/>
      <c r="M374" s="110"/>
      <c r="O374" s="110"/>
      <c r="Q374" s="110"/>
      <c r="S374" s="110"/>
      <c r="T374" s="111"/>
      <c r="U374" s="111"/>
      <c r="W374" s="112"/>
      <c r="Y374" s="112"/>
      <c r="AA374" s="112"/>
      <c r="AC374" s="112"/>
      <c r="AE374" s="112"/>
      <c r="AG374" s="112"/>
      <c r="AI374" s="113"/>
      <c r="AJ374" s="114"/>
      <c r="AK374" s="113"/>
      <c r="AL374" s="114"/>
      <c r="AM374" s="113"/>
      <c r="AN374" s="114"/>
      <c r="AO374" s="115"/>
      <c r="AP374" s="114"/>
      <c r="AQ374" s="115"/>
      <c r="AR374" s="114"/>
      <c r="AS374" s="115"/>
      <c r="AT374" s="114"/>
      <c r="AU374" s="114"/>
    </row>
    <row r="375">
      <c r="B375" s="105"/>
      <c r="C375" s="106"/>
      <c r="D375" s="107"/>
      <c r="E375" s="108"/>
      <c r="F375" s="109"/>
      <c r="G375" s="109"/>
      <c r="I375" s="110"/>
      <c r="K375" s="110"/>
      <c r="M375" s="110"/>
      <c r="O375" s="110"/>
      <c r="Q375" s="110"/>
      <c r="S375" s="110"/>
      <c r="T375" s="111"/>
      <c r="U375" s="111"/>
      <c r="W375" s="112"/>
      <c r="Y375" s="112"/>
      <c r="AA375" s="112"/>
      <c r="AC375" s="112"/>
      <c r="AE375" s="112"/>
      <c r="AG375" s="112"/>
      <c r="AI375" s="113"/>
      <c r="AJ375" s="114"/>
      <c r="AK375" s="113"/>
      <c r="AL375" s="114"/>
      <c r="AM375" s="113"/>
      <c r="AN375" s="114"/>
      <c r="AO375" s="115"/>
      <c r="AP375" s="114"/>
      <c r="AQ375" s="115"/>
      <c r="AR375" s="114"/>
      <c r="AS375" s="115"/>
      <c r="AT375" s="114"/>
      <c r="AU375" s="114"/>
    </row>
    <row r="376">
      <c r="B376" s="105"/>
      <c r="C376" s="106"/>
      <c r="D376" s="107"/>
      <c r="E376" s="108"/>
      <c r="F376" s="109"/>
      <c r="G376" s="109"/>
      <c r="I376" s="110"/>
      <c r="K376" s="110"/>
      <c r="M376" s="110"/>
      <c r="O376" s="110"/>
      <c r="Q376" s="110"/>
      <c r="S376" s="110"/>
      <c r="T376" s="111"/>
      <c r="U376" s="111"/>
      <c r="W376" s="112"/>
      <c r="Y376" s="112"/>
      <c r="AA376" s="112"/>
      <c r="AC376" s="112"/>
      <c r="AE376" s="112"/>
      <c r="AG376" s="112"/>
      <c r="AI376" s="113"/>
      <c r="AJ376" s="114"/>
      <c r="AK376" s="113"/>
      <c r="AL376" s="114"/>
      <c r="AM376" s="113"/>
      <c r="AN376" s="114"/>
      <c r="AO376" s="115"/>
      <c r="AP376" s="114"/>
      <c r="AQ376" s="115"/>
      <c r="AR376" s="114"/>
      <c r="AS376" s="115"/>
      <c r="AT376" s="114"/>
      <c r="AU376" s="114"/>
    </row>
    <row r="377">
      <c r="B377" s="105"/>
      <c r="C377" s="106"/>
      <c r="D377" s="107"/>
      <c r="E377" s="108"/>
      <c r="F377" s="109"/>
      <c r="G377" s="109"/>
      <c r="I377" s="110"/>
      <c r="K377" s="110"/>
      <c r="M377" s="110"/>
      <c r="O377" s="110"/>
      <c r="Q377" s="110"/>
      <c r="S377" s="110"/>
      <c r="T377" s="111"/>
      <c r="U377" s="111"/>
      <c r="W377" s="112"/>
      <c r="Y377" s="112"/>
      <c r="AA377" s="112"/>
      <c r="AC377" s="112"/>
      <c r="AE377" s="112"/>
      <c r="AG377" s="112"/>
      <c r="AI377" s="113"/>
      <c r="AJ377" s="114"/>
      <c r="AK377" s="113"/>
      <c r="AL377" s="114"/>
      <c r="AM377" s="113"/>
      <c r="AN377" s="114"/>
      <c r="AO377" s="115"/>
      <c r="AP377" s="114"/>
      <c r="AQ377" s="115"/>
      <c r="AR377" s="114"/>
      <c r="AS377" s="115"/>
      <c r="AT377" s="114"/>
      <c r="AU377" s="114"/>
    </row>
    <row r="378">
      <c r="B378" s="105"/>
      <c r="C378" s="106"/>
      <c r="D378" s="107"/>
      <c r="E378" s="108"/>
      <c r="F378" s="109"/>
      <c r="G378" s="109"/>
      <c r="I378" s="110"/>
      <c r="K378" s="110"/>
      <c r="M378" s="110"/>
      <c r="O378" s="110"/>
      <c r="Q378" s="110"/>
      <c r="S378" s="110"/>
      <c r="T378" s="111"/>
      <c r="U378" s="111"/>
      <c r="W378" s="112"/>
      <c r="Y378" s="112"/>
      <c r="AA378" s="112"/>
      <c r="AC378" s="112"/>
      <c r="AE378" s="112"/>
      <c r="AG378" s="112"/>
      <c r="AI378" s="113"/>
      <c r="AJ378" s="114"/>
      <c r="AK378" s="113"/>
      <c r="AL378" s="114"/>
      <c r="AM378" s="113"/>
      <c r="AN378" s="114"/>
      <c r="AO378" s="115"/>
      <c r="AP378" s="114"/>
      <c r="AQ378" s="115"/>
      <c r="AR378" s="114"/>
      <c r="AS378" s="115"/>
      <c r="AT378" s="114"/>
      <c r="AU378" s="114"/>
    </row>
    <row r="379">
      <c r="B379" s="105"/>
      <c r="C379" s="106"/>
      <c r="D379" s="107"/>
      <c r="E379" s="108"/>
      <c r="F379" s="109"/>
      <c r="G379" s="109"/>
      <c r="I379" s="110"/>
      <c r="K379" s="110"/>
      <c r="M379" s="110"/>
      <c r="O379" s="110"/>
      <c r="Q379" s="110"/>
      <c r="S379" s="110"/>
      <c r="T379" s="111"/>
      <c r="U379" s="111"/>
      <c r="W379" s="112"/>
      <c r="Y379" s="112"/>
      <c r="AA379" s="112"/>
      <c r="AC379" s="112"/>
      <c r="AE379" s="112"/>
      <c r="AG379" s="112"/>
      <c r="AI379" s="113"/>
      <c r="AJ379" s="114"/>
      <c r="AK379" s="113"/>
      <c r="AL379" s="114"/>
      <c r="AM379" s="113"/>
      <c r="AN379" s="114"/>
      <c r="AO379" s="115"/>
      <c r="AP379" s="114"/>
      <c r="AQ379" s="115"/>
      <c r="AR379" s="114"/>
      <c r="AS379" s="115"/>
      <c r="AT379" s="114"/>
      <c r="AU379" s="114"/>
    </row>
    <row r="380">
      <c r="B380" s="105"/>
      <c r="C380" s="106"/>
      <c r="D380" s="107"/>
      <c r="E380" s="108"/>
      <c r="F380" s="109"/>
      <c r="G380" s="109"/>
      <c r="I380" s="110"/>
      <c r="K380" s="110"/>
      <c r="M380" s="110"/>
      <c r="O380" s="110"/>
      <c r="Q380" s="110"/>
      <c r="S380" s="110"/>
      <c r="T380" s="111"/>
      <c r="U380" s="111"/>
      <c r="W380" s="112"/>
      <c r="Y380" s="112"/>
      <c r="AA380" s="112"/>
      <c r="AC380" s="112"/>
      <c r="AE380" s="112"/>
      <c r="AG380" s="112"/>
      <c r="AI380" s="113"/>
      <c r="AJ380" s="114"/>
      <c r="AK380" s="113"/>
      <c r="AL380" s="114"/>
      <c r="AM380" s="113"/>
      <c r="AN380" s="114"/>
      <c r="AO380" s="115"/>
      <c r="AP380" s="114"/>
      <c r="AQ380" s="115"/>
      <c r="AR380" s="114"/>
      <c r="AS380" s="115"/>
      <c r="AT380" s="114"/>
      <c r="AU380" s="114"/>
    </row>
    <row r="381">
      <c r="B381" s="105"/>
      <c r="C381" s="106"/>
      <c r="D381" s="107"/>
      <c r="E381" s="108"/>
      <c r="F381" s="109"/>
      <c r="G381" s="109"/>
      <c r="I381" s="110"/>
      <c r="K381" s="110"/>
      <c r="M381" s="110"/>
      <c r="O381" s="110"/>
      <c r="Q381" s="110"/>
      <c r="S381" s="110"/>
      <c r="T381" s="111"/>
      <c r="U381" s="111"/>
      <c r="W381" s="112"/>
      <c r="Y381" s="112"/>
      <c r="AA381" s="112"/>
      <c r="AC381" s="112"/>
      <c r="AE381" s="112"/>
      <c r="AG381" s="112"/>
      <c r="AI381" s="113"/>
      <c r="AJ381" s="114"/>
      <c r="AK381" s="113"/>
      <c r="AL381" s="114"/>
      <c r="AM381" s="113"/>
      <c r="AN381" s="114"/>
      <c r="AO381" s="115"/>
      <c r="AP381" s="114"/>
      <c r="AQ381" s="115"/>
      <c r="AR381" s="114"/>
      <c r="AS381" s="115"/>
      <c r="AT381" s="114"/>
      <c r="AU381" s="114"/>
    </row>
    <row r="382">
      <c r="B382" s="105"/>
      <c r="C382" s="106"/>
      <c r="D382" s="107"/>
      <c r="E382" s="108"/>
      <c r="F382" s="109"/>
      <c r="G382" s="109"/>
      <c r="I382" s="110"/>
      <c r="K382" s="110"/>
      <c r="M382" s="110"/>
      <c r="O382" s="110"/>
      <c r="Q382" s="110"/>
      <c r="S382" s="110"/>
      <c r="T382" s="111"/>
      <c r="U382" s="111"/>
      <c r="W382" s="112"/>
      <c r="Y382" s="112"/>
      <c r="AA382" s="112"/>
      <c r="AC382" s="112"/>
      <c r="AE382" s="112"/>
      <c r="AG382" s="112"/>
      <c r="AI382" s="113"/>
      <c r="AJ382" s="114"/>
      <c r="AK382" s="113"/>
      <c r="AL382" s="114"/>
      <c r="AM382" s="113"/>
      <c r="AN382" s="114"/>
      <c r="AO382" s="115"/>
      <c r="AP382" s="114"/>
      <c r="AQ382" s="115"/>
      <c r="AR382" s="114"/>
      <c r="AS382" s="115"/>
      <c r="AT382" s="114"/>
      <c r="AU382" s="114"/>
    </row>
    <row r="383">
      <c r="B383" s="105"/>
      <c r="C383" s="106"/>
      <c r="D383" s="107"/>
      <c r="E383" s="108"/>
      <c r="F383" s="109"/>
      <c r="G383" s="109"/>
      <c r="I383" s="110"/>
      <c r="K383" s="110"/>
      <c r="M383" s="110"/>
      <c r="O383" s="110"/>
      <c r="Q383" s="110"/>
      <c r="S383" s="110"/>
      <c r="T383" s="111"/>
      <c r="U383" s="111"/>
      <c r="W383" s="112"/>
      <c r="Y383" s="112"/>
      <c r="AA383" s="112"/>
      <c r="AC383" s="112"/>
      <c r="AE383" s="112"/>
      <c r="AG383" s="112"/>
      <c r="AI383" s="113"/>
      <c r="AJ383" s="114"/>
      <c r="AK383" s="113"/>
      <c r="AL383" s="114"/>
      <c r="AM383" s="113"/>
      <c r="AN383" s="114"/>
      <c r="AO383" s="115"/>
      <c r="AP383" s="114"/>
      <c r="AQ383" s="115"/>
      <c r="AR383" s="114"/>
      <c r="AS383" s="115"/>
      <c r="AT383" s="114"/>
      <c r="AU383" s="114"/>
    </row>
    <row r="384">
      <c r="B384" s="105"/>
      <c r="C384" s="106"/>
      <c r="D384" s="107"/>
      <c r="E384" s="108"/>
      <c r="F384" s="109"/>
      <c r="G384" s="109"/>
      <c r="I384" s="110"/>
      <c r="K384" s="110"/>
      <c r="M384" s="110"/>
      <c r="O384" s="110"/>
      <c r="Q384" s="110"/>
      <c r="S384" s="110"/>
      <c r="T384" s="111"/>
      <c r="U384" s="111"/>
      <c r="W384" s="112"/>
      <c r="Y384" s="112"/>
      <c r="AA384" s="112"/>
      <c r="AC384" s="112"/>
      <c r="AE384" s="112"/>
      <c r="AG384" s="112"/>
      <c r="AI384" s="113"/>
      <c r="AJ384" s="114"/>
      <c r="AK384" s="113"/>
      <c r="AL384" s="114"/>
      <c r="AM384" s="113"/>
      <c r="AN384" s="114"/>
      <c r="AO384" s="115"/>
      <c r="AP384" s="114"/>
      <c r="AQ384" s="115"/>
      <c r="AR384" s="114"/>
      <c r="AS384" s="115"/>
      <c r="AT384" s="114"/>
      <c r="AU384" s="114"/>
    </row>
    <row r="385">
      <c r="B385" s="105"/>
      <c r="C385" s="106"/>
      <c r="D385" s="107"/>
      <c r="E385" s="108"/>
      <c r="F385" s="109"/>
      <c r="G385" s="109"/>
      <c r="I385" s="110"/>
      <c r="K385" s="110"/>
      <c r="M385" s="110"/>
      <c r="O385" s="110"/>
      <c r="Q385" s="110"/>
      <c r="S385" s="110"/>
      <c r="T385" s="111"/>
      <c r="U385" s="111"/>
      <c r="W385" s="112"/>
      <c r="Y385" s="112"/>
      <c r="AA385" s="112"/>
      <c r="AC385" s="112"/>
      <c r="AE385" s="112"/>
      <c r="AG385" s="112"/>
      <c r="AI385" s="113"/>
      <c r="AJ385" s="114"/>
      <c r="AK385" s="113"/>
      <c r="AL385" s="114"/>
      <c r="AM385" s="113"/>
      <c r="AN385" s="114"/>
      <c r="AO385" s="115"/>
      <c r="AP385" s="114"/>
      <c r="AQ385" s="115"/>
      <c r="AR385" s="114"/>
      <c r="AS385" s="115"/>
      <c r="AT385" s="114"/>
      <c r="AU385" s="114"/>
    </row>
    <row r="386">
      <c r="B386" s="105"/>
      <c r="C386" s="106"/>
      <c r="D386" s="107"/>
      <c r="E386" s="108"/>
      <c r="F386" s="109"/>
      <c r="G386" s="109"/>
      <c r="I386" s="110"/>
      <c r="K386" s="110"/>
      <c r="M386" s="110"/>
      <c r="O386" s="110"/>
      <c r="Q386" s="110"/>
      <c r="S386" s="110"/>
      <c r="T386" s="111"/>
      <c r="U386" s="111"/>
      <c r="W386" s="112"/>
      <c r="Y386" s="112"/>
      <c r="AA386" s="112"/>
      <c r="AC386" s="112"/>
      <c r="AE386" s="112"/>
      <c r="AG386" s="112"/>
      <c r="AI386" s="113"/>
      <c r="AJ386" s="114"/>
      <c r="AK386" s="113"/>
      <c r="AL386" s="114"/>
      <c r="AM386" s="113"/>
      <c r="AN386" s="114"/>
      <c r="AO386" s="115"/>
      <c r="AP386" s="114"/>
      <c r="AQ386" s="115"/>
      <c r="AR386" s="114"/>
      <c r="AS386" s="115"/>
      <c r="AT386" s="114"/>
      <c r="AU386" s="114"/>
    </row>
    <row r="387">
      <c r="B387" s="105"/>
      <c r="C387" s="106"/>
      <c r="D387" s="107"/>
      <c r="E387" s="108"/>
      <c r="F387" s="109"/>
      <c r="G387" s="109"/>
      <c r="I387" s="110"/>
      <c r="K387" s="110"/>
      <c r="M387" s="110"/>
      <c r="O387" s="110"/>
      <c r="Q387" s="110"/>
      <c r="S387" s="110"/>
      <c r="T387" s="111"/>
      <c r="U387" s="111"/>
      <c r="W387" s="112"/>
      <c r="Y387" s="112"/>
      <c r="AA387" s="112"/>
      <c r="AC387" s="112"/>
      <c r="AE387" s="112"/>
      <c r="AG387" s="112"/>
      <c r="AI387" s="113"/>
      <c r="AJ387" s="114"/>
      <c r="AK387" s="113"/>
      <c r="AL387" s="114"/>
      <c r="AM387" s="113"/>
      <c r="AN387" s="114"/>
      <c r="AO387" s="115"/>
      <c r="AP387" s="114"/>
      <c r="AQ387" s="115"/>
      <c r="AR387" s="114"/>
      <c r="AS387" s="115"/>
      <c r="AT387" s="114"/>
      <c r="AU387" s="114"/>
    </row>
    <row r="388">
      <c r="B388" s="105"/>
      <c r="C388" s="106"/>
      <c r="D388" s="107"/>
      <c r="E388" s="108"/>
      <c r="F388" s="109"/>
      <c r="G388" s="109"/>
      <c r="I388" s="110"/>
      <c r="K388" s="110"/>
      <c r="M388" s="110"/>
      <c r="O388" s="110"/>
      <c r="Q388" s="110"/>
      <c r="S388" s="110"/>
      <c r="T388" s="111"/>
      <c r="U388" s="111"/>
      <c r="W388" s="112"/>
      <c r="Y388" s="112"/>
      <c r="AA388" s="112"/>
      <c r="AC388" s="112"/>
      <c r="AE388" s="112"/>
      <c r="AG388" s="112"/>
      <c r="AI388" s="113"/>
      <c r="AJ388" s="114"/>
      <c r="AK388" s="113"/>
      <c r="AL388" s="114"/>
      <c r="AM388" s="113"/>
      <c r="AN388" s="114"/>
      <c r="AO388" s="115"/>
      <c r="AP388" s="114"/>
      <c r="AQ388" s="115"/>
      <c r="AR388" s="114"/>
      <c r="AS388" s="115"/>
      <c r="AT388" s="114"/>
      <c r="AU388" s="114"/>
    </row>
    <row r="389">
      <c r="B389" s="105"/>
      <c r="C389" s="106"/>
      <c r="D389" s="107"/>
      <c r="E389" s="108"/>
      <c r="F389" s="109"/>
      <c r="G389" s="109"/>
      <c r="I389" s="110"/>
      <c r="K389" s="110"/>
      <c r="M389" s="110"/>
      <c r="O389" s="110"/>
      <c r="Q389" s="110"/>
      <c r="S389" s="110"/>
      <c r="T389" s="111"/>
      <c r="U389" s="111"/>
      <c r="W389" s="112"/>
      <c r="Y389" s="112"/>
      <c r="AA389" s="112"/>
      <c r="AC389" s="112"/>
      <c r="AE389" s="112"/>
      <c r="AG389" s="112"/>
      <c r="AI389" s="113"/>
      <c r="AJ389" s="114"/>
      <c r="AK389" s="113"/>
      <c r="AL389" s="114"/>
      <c r="AM389" s="113"/>
      <c r="AN389" s="114"/>
      <c r="AO389" s="115"/>
      <c r="AP389" s="114"/>
      <c r="AQ389" s="115"/>
      <c r="AR389" s="114"/>
      <c r="AS389" s="115"/>
      <c r="AT389" s="114"/>
      <c r="AU389" s="114"/>
    </row>
    <row r="390">
      <c r="B390" s="105"/>
      <c r="C390" s="106"/>
      <c r="D390" s="107"/>
      <c r="E390" s="108"/>
      <c r="F390" s="109"/>
      <c r="G390" s="109"/>
      <c r="I390" s="110"/>
      <c r="K390" s="110"/>
      <c r="M390" s="110"/>
      <c r="O390" s="110"/>
      <c r="Q390" s="110"/>
      <c r="S390" s="110"/>
      <c r="T390" s="111"/>
      <c r="U390" s="111"/>
      <c r="W390" s="112"/>
      <c r="Y390" s="112"/>
      <c r="AA390" s="112"/>
      <c r="AC390" s="112"/>
      <c r="AE390" s="112"/>
      <c r="AG390" s="112"/>
      <c r="AI390" s="113"/>
      <c r="AJ390" s="114"/>
      <c r="AK390" s="113"/>
      <c r="AL390" s="114"/>
      <c r="AM390" s="113"/>
      <c r="AN390" s="114"/>
      <c r="AO390" s="115"/>
      <c r="AP390" s="114"/>
      <c r="AQ390" s="115"/>
      <c r="AR390" s="114"/>
      <c r="AS390" s="115"/>
      <c r="AT390" s="114"/>
      <c r="AU390" s="114"/>
    </row>
    <row r="391">
      <c r="B391" s="105"/>
      <c r="C391" s="106"/>
      <c r="D391" s="107"/>
      <c r="E391" s="108"/>
      <c r="F391" s="109"/>
      <c r="G391" s="109"/>
      <c r="I391" s="110"/>
      <c r="K391" s="110"/>
      <c r="M391" s="110"/>
      <c r="O391" s="110"/>
      <c r="Q391" s="110"/>
      <c r="S391" s="110"/>
      <c r="T391" s="111"/>
      <c r="U391" s="111"/>
      <c r="W391" s="112"/>
      <c r="Y391" s="112"/>
      <c r="AA391" s="112"/>
      <c r="AC391" s="112"/>
      <c r="AE391" s="112"/>
      <c r="AG391" s="112"/>
      <c r="AI391" s="113"/>
      <c r="AJ391" s="114"/>
      <c r="AK391" s="113"/>
      <c r="AL391" s="114"/>
      <c r="AM391" s="113"/>
      <c r="AN391" s="114"/>
      <c r="AO391" s="115"/>
      <c r="AP391" s="114"/>
      <c r="AQ391" s="115"/>
      <c r="AR391" s="114"/>
      <c r="AS391" s="115"/>
      <c r="AT391" s="114"/>
      <c r="AU391" s="114"/>
    </row>
    <row r="392">
      <c r="B392" s="105"/>
      <c r="C392" s="106"/>
      <c r="D392" s="107"/>
      <c r="E392" s="108"/>
      <c r="F392" s="109"/>
      <c r="G392" s="109"/>
      <c r="I392" s="110"/>
      <c r="K392" s="110"/>
      <c r="M392" s="110"/>
      <c r="O392" s="110"/>
      <c r="Q392" s="110"/>
      <c r="S392" s="110"/>
      <c r="T392" s="111"/>
      <c r="U392" s="111"/>
      <c r="W392" s="112"/>
      <c r="Y392" s="112"/>
      <c r="AA392" s="112"/>
      <c r="AC392" s="112"/>
      <c r="AE392" s="112"/>
      <c r="AG392" s="112"/>
      <c r="AI392" s="113"/>
      <c r="AJ392" s="114"/>
      <c r="AK392" s="113"/>
      <c r="AL392" s="114"/>
      <c r="AM392" s="113"/>
      <c r="AN392" s="114"/>
      <c r="AO392" s="115"/>
      <c r="AP392" s="114"/>
      <c r="AQ392" s="115"/>
      <c r="AR392" s="114"/>
      <c r="AS392" s="115"/>
      <c r="AT392" s="114"/>
      <c r="AU392" s="114"/>
    </row>
    <row r="393">
      <c r="B393" s="105"/>
      <c r="C393" s="106"/>
      <c r="D393" s="107"/>
      <c r="E393" s="108"/>
      <c r="F393" s="109"/>
      <c r="G393" s="109"/>
      <c r="I393" s="110"/>
      <c r="K393" s="110"/>
      <c r="M393" s="110"/>
      <c r="O393" s="110"/>
      <c r="Q393" s="110"/>
      <c r="S393" s="110"/>
      <c r="T393" s="111"/>
      <c r="U393" s="111"/>
      <c r="W393" s="112"/>
      <c r="Y393" s="112"/>
      <c r="AA393" s="112"/>
      <c r="AC393" s="112"/>
      <c r="AE393" s="112"/>
      <c r="AG393" s="112"/>
      <c r="AI393" s="113"/>
      <c r="AJ393" s="114"/>
      <c r="AK393" s="113"/>
      <c r="AL393" s="114"/>
      <c r="AM393" s="113"/>
      <c r="AN393" s="114"/>
      <c r="AO393" s="115"/>
      <c r="AP393" s="114"/>
      <c r="AQ393" s="115"/>
      <c r="AR393" s="114"/>
      <c r="AS393" s="115"/>
      <c r="AT393" s="114"/>
      <c r="AU393" s="114"/>
    </row>
    <row r="394">
      <c r="B394" s="105"/>
      <c r="C394" s="106"/>
      <c r="D394" s="107"/>
      <c r="E394" s="108"/>
      <c r="F394" s="109"/>
      <c r="G394" s="109"/>
      <c r="I394" s="110"/>
      <c r="K394" s="110"/>
      <c r="M394" s="110"/>
      <c r="O394" s="110"/>
      <c r="Q394" s="110"/>
      <c r="S394" s="110"/>
      <c r="T394" s="111"/>
      <c r="U394" s="111"/>
      <c r="W394" s="112"/>
      <c r="Y394" s="112"/>
      <c r="AA394" s="112"/>
      <c r="AC394" s="112"/>
      <c r="AE394" s="112"/>
      <c r="AG394" s="112"/>
      <c r="AI394" s="113"/>
      <c r="AJ394" s="114"/>
      <c r="AK394" s="113"/>
      <c r="AL394" s="114"/>
      <c r="AM394" s="113"/>
      <c r="AN394" s="114"/>
      <c r="AO394" s="115"/>
      <c r="AP394" s="114"/>
      <c r="AQ394" s="115"/>
      <c r="AR394" s="114"/>
      <c r="AS394" s="115"/>
      <c r="AT394" s="114"/>
      <c r="AU394" s="114"/>
    </row>
    <row r="395">
      <c r="B395" s="105"/>
      <c r="C395" s="106"/>
      <c r="D395" s="107"/>
      <c r="E395" s="108"/>
      <c r="F395" s="109"/>
      <c r="G395" s="109"/>
      <c r="I395" s="110"/>
      <c r="K395" s="110"/>
      <c r="M395" s="110"/>
      <c r="O395" s="110"/>
      <c r="Q395" s="110"/>
      <c r="S395" s="110"/>
      <c r="T395" s="111"/>
      <c r="U395" s="111"/>
      <c r="W395" s="112"/>
      <c r="Y395" s="112"/>
      <c r="AA395" s="112"/>
      <c r="AC395" s="112"/>
      <c r="AE395" s="112"/>
      <c r="AG395" s="112"/>
      <c r="AI395" s="113"/>
      <c r="AJ395" s="114"/>
      <c r="AK395" s="113"/>
      <c r="AL395" s="114"/>
      <c r="AM395" s="113"/>
      <c r="AN395" s="114"/>
      <c r="AO395" s="115"/>
      <c r="AP395" s="114"/>
      <c r="AQ395" s="115"/>
      <c r="AR395" s="114"/>
      <c r="AS395" s="115"/>
      <c r="AT395" s="114"/>
      <c r="AU395" s="114"/>
    </row>
    <row r="396">
      <c r="B396" s="105"/>
      <c r="C396" s="106"/>
      <c r="D396" s="107"/>
      <c r="E396" s="108"/>
      <c r="F396" s="109"/>
      <c r="G396" s="109"/>
      <c r="I396" s="110"/>
      <c r="K396" s="110"/>
      <c r="M396" s="110"/>
      <c r="O396" s="110"/>
      <c r="Q396" s="110"/>
      <c r="S396" s="110"/>
      <c r="T396" s="111"/>
      <c r="U396" s="111"/>
      <c r="W396" s="112"/>
      <c r="Y396" s="112"/>
      <c r="AA396" s="112"/>
      <c r="AC396" s="112"/>
      <c r="AE396" s="112"/>
      <c r="AG396" s="112"/>
      <c r="AI396" s="113"/>
      <c r="AJ396" s="114"/>
      <c r="AK396" s="113"/>
      <c r="AL396" s="114"/>
      <c r="AM396" s="113"/>
      <c r="AN396" s="114"/>
      <c r="AO396" s="115"/>
      <c r="AP396" s="114"/>
      <c r="AQ396" s="115"/>
      <c r="AR396" s="114"/>
      <c r="AS396" s="115"/>
      <c r="AT396" s="114"/>
      <c r="AU396" s="114"/>
    </row>
    <row r="397">
      <c r="B397" s="105"/>
      <c r="C397" s="106"/>
      <c r="D397" s="107"/>
      <c r="E397" s="108"/>
      <c r="F397" s="109"/>
      <c r="G397" s="109"/>
      <c r="I397" s="110"/>
      <c r="K397" s="110"/>
      <c r="M397" s="110"/>
      <c r="O397" s="110"/>
      <c r="Q397" s="110"/>
      <c r="S397" s="110"/>
      <c r="T397" s="111"/>
      <c r="U397" s="111"/>
      <c r="W397" s="112"/>
      <c r="Y397" s="112"/>
      <c r="AA397" s="112"/>
      <c r="AC397" s="112"/>
      <c r="AE397" s="112"/>
      <c r="AG397" s="112"/>
      <c r="AI397" s="113"/>
      <c r="AJ397" s="114"/>
      <c r="AK397" s="113"/>
      <c r="AL397" s="114"/>
      <c r="AM397" s="113"/>
      <c r="AN397" s="114"/>
      <c r="AO397" s="115"/>
      <c r="AP397" s="114"/>
      <c r="AQ397" s="115"/>
      <c r="AR397" s="114"/>
      <c r="AS397" s="115"/>
      <c r="AT397" s="114"/>
      <c r="AU397" s="114"/>
    </row>
    <row r="398">
      <c r="B398" s="105"/>
      <c r="C398" s="106"/>
      <c r="D398" s="107"/>
      <c r="E398" s="108"/>
      <c r="F398" s="109"/>
      <c r="G398" s="109"/>
      <c r="I398" s="110"/>
      <c r="K398" s="110"/>
      <c r="M398" s="110"/>
      <c r="O398" s="110"/>
      <c r="Q398" s="110"/>
      <c r="S398" s="110"/>
      <c r="T398" s="111"/>
      <c r="U398" s="111"/>
      <c r="W398" s="112"/>
      <c r="Y398" s="112"/>
      <c r="AA398" s="112"/>
      <c r="AC398" s="112"/>
      <c r="AE398" s="112"/>
      <c r="AG398" s="112"/>
      <c r="AI398" s="113"/>
      <c r="AJ398" s="114"/>
      <c r="AK398" s="113"/>
      <c r="AL398" s="114"/>
      <c r="AM398" s="113"/>
      <c r="AN398" s="114"/>
      <c r="AO398" s="115"/>
      <c r="AP398" s="114"/>
      <c r="AQ398" s="115"/>
      <c r="AR398" s="114"/>
      <c r="AS398" s="115"/>
      <c r="AT398" s="114"/>
      <c r="AU398" s="114"/>
    </row>
    <row r="399">
      <c r="B399" s="105"/>
      <c r="C399" s="106"/>
      <c r="D399" s="107"/>
      <c r="E399" s="108"/>
      <c r="F399" s="109"/>
      <c r="G399" s="109"/>
      <c r="I399" s="110"/>
      <c r="K399" s="110"/>
      <c r="M399" s="110"/>
      <c r="O399" s="110"/>
      <c r="Q399" s="110"/>
      <c r="S399" s="110"/>
      <c r="T399" s="111"/>
      <c r="U399" s="111"/>
      <c r="W399" s="112"/>
      <c r="Y399" s="112"/>
      <c r="AA399" s="112"/>
      <c r="AC399" s="112"/>
      <c r="AE399" s="112"/>
      <c r="AG399" s="112"/>
      <c r="AI399" s="113"/>
      <c r="AJ399" s="114"/>
      <c r="AK399" s="113"/>
      <c r="AL399" s="114"/>
      <c r="AM399" s="113"/>
      <c r="AN399" s="114"/>
      <c r="AO399" s="115"/>
      <c r="AP399" s="114"/>
      <c r="AQ399" s="115"/>
      <c r="AR399" s="114"/>
      <c r="AS399" s="115"/>
      <c r="AT399" s="114"/>
      <c r="AU399" s="114"/>
    </row>
    <row r="400">
      <c r="B400" s="105"/>
      <c r="C400" s="106"/>
      <c r="D400" s="107"/>
      <c r="E400" s="108"/>
      <c r="F400" s="109"/>
      <c r="G400" s="109"/>
      <c r="I400" s="110"/>
      <c r="K400" s="110"/>
      <c r="M400" s="110"/>
      <c r="O400" s="110"/>
      <c r="Q400" s="110"/>
      <c r="S400" s="110"/>
      <c r="T400" s="111"/>
      <c r="U400" s="111"/>
      <c r="W400" s="112"/>
      <c r="Y400" s="112"/>
      <c r="AA400" s="112"/>
      <c r="AC400" s="112"/>
      <c r="AE400" s="112"/>
      <c r="AG400" s="112"/>
      <c r="AI400" s="113"/>
      <c r="AJ400" s="114"/>
      <c r="AK400" s="113"/>
      <c r="AL400" s="114"/>
      <c r="AM400" s="113"/>
      <c r="AN400" s="114"/>
      <c r="AO400" s="115"/>
      <c r="AP400" s="114"/>
      <c r="AQ400" s="115"/>
      <c r="AR400" s="114"/>
      <c r="AS400" s="115"/>
      <c r="AT400" s="114"/>
      <c r="AU400" s="114"/>
    </row>
    <row r="401">
      <c r="B401" s="105"/>
      <c r="C401" s="106"/>
      <c r="D401" s="107"/>
      <c r="E401" s="108"/>
      <c r="F401" s="109"/>
      <c r="G401" s="109"/>
      <c r="I401" s="110"/>
      <c r="K401" s="110"/>
      <c r="M401" s="110"/>
      <c r="O401" s="110"/>
      <c r="Q401" s="110"/>
      <c r="S401" s="110"/>
      <c r="T401" s="111"/>
      <c r="U401" s="111"/>
      <c r="W401" s="112"/>
      <c r="Y401" s="112"/>
      <c r="AA401" s="112"/>
      <c r="AC401" s="112"/>
      <c r="AE401" s="112"/>
      <c r="AG401" s="112"/>
      <c r="AI401" s="113"/>
      <c r="AJ401" s="114"/>
      <c r="AK401" s="113"/>
      <c r="AL401" s="114"/>
      <c r="AM401" s="113"/>
      <c r="AN401" s="114"/>
      <c r="AO401" s="115"/>
      <c r="AP401" s="114"/>
      <c r="AQ401" s="115"/>
      <c r="AR401" s="114"/>
      <c r="AS401" s="115"/>
      <c r="AT401" s="114"/>
      <c r="AU401" s="114"/>
    </row>
    <row r="402">
      <c r="B402" s="105"/>
      <c r="C402" s="106"/>
      <c r="D402" s="107"/>
      <c r="E402" s="108"/>
      <c r="F402" s="109"/>
      <c r="G402" s="109"/>
      <c r="I402" s="110"/>
      <c r="K402" s="110"/>
      <c r="M402" s="110"/>
      <c r="O402" s="110"/>
      <c r="Q402" s="110"/>
      <c r="S402" s="110"/>
      <c r="T402" s="111"/>
      <c r="U402" s="111"/>
      <c r="W402" s="112"/>
      <c r="Y402" s="112"/>
      <c r="AA402" s="112"/>
      <c r="AC402" s="112"/>
      <c r="AE402" s="112"/>
      <c r="AG402" s="112"/>
      <c r="AI402" s="113"/>
      <c r="AJ402" s="114"/>
      <c r="AK402" s="113"/>
      <c r="AL402" s="114"/>
      <c r="AM402" s="113"/>
      <c r="AN402" s="114"/>
      <c r="AO402" s="115"/>
      <c r="AP402" s="114"/>
      <c r="AQ402" s="115"/>
      <c r="AR402" s="114"/>
      <c r="AS402" s="115"/>
      <c r="AT402" s="114"/>
      <c r="AU402" s="114"/>
    </row>
    <row r="403">
      <c r="B403" s="105"/>
      <c r="C403" s="106"/>
      <c r="D403" s="107"/>
      <c r="E403" s="108"/>
      <c r="F403" s="109"/>
      <c r="G403" s="109"/>
      <c r="I403" s="110"/>
      <c r="K403" s="110"/>
      <c r="M403" s="110"/>
      <c r="O403" s="110"/>
      <c r="Q403" s="110"/>
      <c r="S403" s="110"/>
      <c r="T403" s="111"/>
      <c r="U403" s="111"/>
      <c r="W403" s="112"/>
      <c r="Y403" s="112"/>
      <c r="AA403" s="112"/>
      <c r="AC403" s="112"/>
      <c r="AE403" s="112"/>
      <c r="AG403" s="112"/>
      <c r="AI403" s="113"/>
      <c r="AJ403" s="114"/>
      <c r="AK403" s="113"/>
      <c r="AL403" s="114"/>
      <c r="AM403" s="113"/>
      <c r="AN403" s="114"/>
      <c r="AO403" s="115"/>
      <c r="AP403" s="114"/>
      <c r="AQ403" s="115"/>
      <c r="AR403" s="114"/>
      <c r="AS403" s="115"/>
      <c r="AT403" s="114"/>
      <c r="AU403" s="114"/>
    </row>
    <row r="404">
      <c r="B404" s="105"/>
      <c r="C404" s="106"/>
      <c r="D404" s="107"/>
      <c r="E404" s="108"/>
      <c r="F404" s="109"/>
      <c r="G404" s="109"/>
      <c r="I404" s="110"/>
      <c r="K404" s="110"/>
      <c r="M404" s="110"/>
      <c r="O404" s="110"/>
      <c r="Q404" s="110"/>
      <c r="S404" s="110"/>
      <c r="T404" s="111"/>
      <c r="U404" s="111"/>
      <c r="W404" s="112"/>
      <c r="Y404" s="112"/>
      <c r="AA404" s="112"/>
      <c r="AC404" s="112"/>
      <c r="AE404" s="112"/>
      <c r="AG404" s="112"/>
      <c r="AI404" s="113"/>
      <c r="AJ404" s="114"/>
      <c r="AK404" s="113"/>
      <c r="AL404" s="114"/>
      <c r="AM404" s="113"/>
      <c r="AN404" s="114"/>
      <c r="AO404" s="115"/>
      <c r="AP404" s="114"/>
      <c r="AQ404" s="115"/>
      <c r="AR404" s="114"/>
      <c r="AS404" s="115"/>
      <c r="AT404" s="114"/>
      <c r="AU404" s="114"/>
    </row>
    <row r="405">
      <c r="B405" s="105"/>
      <c r="C405" s="106"/>
      <c r="D405" s="107"/>
      <c r="E405" s="108"/>
      <c r="F405" s="109"/>
      <c r="G405" s="109"/>
      <c r="I405" s="110"/>
      <c r="K405" s="110"/>
      <c r="M405" s="110"/>
      <c r="O405" s="110"/>
      <c r="Q405" s="110"/>
      <c r="S405" s="110"/>
      <c r="T405" s="111"/>
      <c r="U405" s="111"/>
      <c r="W405" s="112"/>
      <c r="Y405" s="112"/>
      <c r="AA405" s="112"/>
      <c r="AC405" s="112"/>
      <c r="AE405" s="112"/>
      <c r="AG405" s="112"/>
      <c r="AI405" s="113"/>
      <c r="AJ405" s="114"/>
      <c r="AK405" s="113"/>
      <c r="AL405" s="114"/>
      <c r="AM405" s="113"/>
      <c r="AN405" s="114"/>
      <c r="AO405" s="115"/>
      <c r="AP405" s="114"/>
      <c r="AQ405" s="115"/>
      <c r="AR405" s="114"/>
      <c r="AS405" s="115"/>
      <c r="AT405" s="114"/>
      <c r="AU405" s="114"/>
    </row>
    <row r="406">
      <c r="B406" s="105"/>
      <c r="C406" s="106"/>
      <c r="D406" s="107"/>
      <c r="E406" s="108"/>
      <c r="F406" s="109"/>
      <c r="G406" s="109"/>
      <c r="I406" s="110"/>
      <c r="K406" s="110"/>
      <c r="M406" s="110"/>
      <c r="O406" s="110"/>
      <c r="Q406" s="110"/>
      <c r="S406" s="110"/>
      <c r="T406" s="111"/>
      <c r="U406" s="111"/>
      <c r="W406" s="112"/>
      <c r="Y406" s="112"/>
      <c r="AA406" s="112"/>
      <c r="AC406" s="112"/>
      <c r="AE406" s="112"/>
      <c r="AG406" s="112"/>
      <c r="AI406" s="113"/>
      <c r="AJ406" s="114"/>
      <c r="AK406" s="113"/>
      <c r="AL406" s="114"/>
      <c r="AM406" s="113"/>
      <c r="AN406" s="114"/>
      <c r="AO406" s="115"/>
      <c r="AP406" s="114"/>
      <c r="AQ406" s="115"/>
      <c r="AR406" s="114"/>
      <c r="AS406" s="115"/>
      <c r="AT406" s="114"/>
      <c r="AU406" s="114"/>
    </row>
    <row r="407">
      <c r="B407" s="105"/>
      <c r="C407" s="106"/>
      <c r="D407" s="107"/>
      <c r="E407" s="108"/>
      <c r="F407" s="109"/>
      <c r="G407" s="109"/>
      <c r="I407" s="110"/>
      <c r="K407" s="110"/>
      <c r="M407" s="110"/>
      <c r="O407" s="110"/>
      <c r="Q407" s="110"/>
      <c r="S407" s="110"/>
      <c r="T407" s="111"/>
      <c r="U407" s="111"/>
      <c r="W407" s="112"/>
      <c r="Y407" s="112"/>
      <c r="AA407" s="112"/>
      <c r="AC407" s="112"/>
      <c r="AE407" s="112"/>
      <c r="AG407" s="112"/>
      <c r="AI407" s="113"/>
      <c r="AJ407" s="114"/>
      <c r="AK407" s="113"/>
      <c r="AL407" s="114"/>
      <c r="AM407" s="113"/>
      <c r="AN407" s="114"/>
      <c r="AO407" s="115"/>
      <c r="AP407" s="114"/>
      <c r="AQ407" s="115"/>
      <c r="AR407" s="114"/>
      <c r="AS407" s="115"/>
      <c r="AT407" s="114"/>
      <c r="AU407" s="114"/>
    </row>
    <row r="408">
      <c r="B408" s="105"/>
      <c r="C408" s="106"/>
      <c r="D408" s="107"/>
      <c r="E408" s="108"/>
      <c r="F408" s="109"/>
      <c r="G408" s="109"/>
      <c r="I408" s="110"/>
      <c r="K408" s="110"/>
      <c r="M408" s="110"/>
      <c r="O408" s="110"/>
      <c r="Q408" s="110"/>
      <c r="S408" s="110"/>
      <c r="T408" s="111"/>
      <c r="U408" s="111"/>
      <c r="W408" s="112"/>
      <c r="Y408" s="112"/>
      <c r="AA408" s="112"/>
      <c r="AC408" s="112"/>
      <c r="AE408" s="112"/>
      <c r="AG408" s="112"/>
      <c r="AI408" s="113"/>
      <c r="AJ408" s="114"/>
      <c r="AK408" s="113"/>
      <c r="AL408" s="114"/>
      <c r="AM408" s="113"/>
      <c r="AN408" s="114"/>
      <c r="AO408" s="115"/>
      <c r="AP408" s="114"/>
      <c r="AQ408" s="115"/>
      <c r="AR408" s="114"/>
      <c r="AS408" s="115"/>
      <c r="AT408" s="114"/>
      <c r="AU408" s="114"/>
    </row>
    <row r="409">
      <c r="B409" s="105"/>
      <c r="C409" s="106"/>
      <c r="D409" s="107"/>
      <c r="E409" s="108"/>
      <c r="F409" s="109"/>
      <c r="G409" s="109"/>
      <c r="I409" s="110"/>
      <c r="K409" s="110"/>
      <c r="M409" s="110"/>
      <c r="O409" s="110"/>
      <c r="Q409" s="110"/>
      <c r="S409" s="110"/>
      <c r="T409" s="111"/>
      <c r="U409" s="111"/>
      <c r="W409" s="112"/>
      <c r="Y409" s="112"/>
      <c r="AA409" s="112"/>
      <c r="AC409" s="112"/>
      <c r="AE409" s="112"/>
      <c r="AG409" s="112"/>
      <c r="AI409" s="113"/>
      <c r="AJ409" s="114"/>
      <c r="AK409" s="113"/>
      <c r="AL409" s="114"/>
      <c r="AM409" s="113"/>
      <c r="AN409" s="114"/>
      <c r="AO409" s="115"/>
      <c r="AP409" s="114"/>
      <c r="AQ409" s="115"/>
      <c r="AR409" s="114"/>
      <c r="AS409" s="115"/>
      <c r="AT409" s="114"/>
      <c r="AU409" s="114"/>
    </row>
    <row r="410">
      <c r="B410" s="105"/>
      <c r="C410" s="106"/>
      <c r="D410" s="107"/>
      <c r="E410" s="108"/>
      <c r="F410" s="109"/>
      <c r="G410" s="109"/>
      <c r="I410" s="110"/>
      <c r="K410" s="110"/>
      <c r="M410" s="110"/>
      <c r="O410" s="110"/>
      <c r="Q410" s="110"/>
      <c r="S410" s="110"/>
      <c r="T410" s="111"/>
      <c r="U410" s="111"/>
      <c r="W410" s="112"/>
      <c r="Y410" s="112"/>
      <c r="AA410" s="112"/>
      <c r="AC410" s="112"/>
      <c r="AE410" s="112"/>
      <c r="AG410" s="112"/>
      <c r="AI410" s="113"/>
      <c r="AJ410" s="114"/>
      <c r="AK410" s="113"/>
      <c r="AL410" s="114"/>
      <c r="AM410" s="113"/>
      <c r="AN410" s="114"/>
      <c r="AO410" s="115"/>
      <c r="AP410" s="114"/>
      <c r="AQ410" s="115"/>
      <c r="AR410" s="114"/>
      <c r="AS410" s="115"/>
      <c r="AT410" s="114"/>
      <c r="AU410" s="114"/>
    </row>
    <row r="411">
      <c r="B411" s="105"/>
      <c r="C411" s="106"/>
      <c r="D411" s="107"/>
      <c r="E411" s="108"/>
      <c r="F411" s="109"/>
      <c r="G411" s="109"/>
      <c r="I411" s="110"/>
      <c r="K411" s="110"/>
      <c r="M411" s="110"/>
      <c r="O411" s="110"/>
      <c r="Q411" s="110"/>
      <c r="S411" s="110"/>
      <c r="T411" s="111"/>
      <c r="U411" s="111"/>
      <c r="W411" s="112"/>
      <c r="Y411" s="112"/>
      <c r="AA411" s="112"/>
      <c r="AC411" s="112"/>
      <c r="AE411" s="112"/>
      <c r="AG411" s="112"/>
      <c r="AI411" s="113"/>
      <c r="AJ411" s="114"/>
      <c r="AK411" s="113"/>
      <c r="AL411" s="114"/>
      <c r="AM411" s="113"/>
      <c r="AN411" s="114"/>
      <c r="AO411" s="115"/>
      <c r="AP411" s="114"/>
      <c r="AQ411" s="115"/>
      <c r="AR411" s="114"/>
      <c r="AS411" s="115"/>
      <c r="AT411" s="114"/>
      <c r="AU411" s="114"/>
    </row>
    <row r="412">
      <c r="B412" s="105"/>
      <c r="C412" s="106"/>
      <c r="D412" s="107"/>
      <c r="E412" s="108"/>
      <c r="F412" s="109"/>
      <c r="G412" s="109"/>
      <c r="I412" s="110"/>
      <c r="K412" s="110"/>
      <c r="M412" s="110"/>
      <c r="O412" s="110"/>
      <c r="Q412" s="110"/>
      <c r="S412" s="110"/>
      <c r="T412" s="111"/>
      <c r="U412" s="111"/>
      <c r="W412" s="112"/>
      <c r="Y412" s="112"/>
      <c r="AA412" s="112"/>
      <c r="AC412" s="112"/>
      <c r="AE412" s="112"/>
      <c r="AG412" s="112"/>
      <c r="AI412" s="113"/>
      <c r="AJ412" s="114"/>
      <c r="AK412" s="113"/>
      <c r="AL412" s="114"/>
      <c r="AM412" s="113"/>
      <c r="AN412" s="114"/>
      <c r="AO412" s="115"/>
      <c r="AP412" s="114"/>
      <c r="AQ412" s="115"/>
      <c r="AR412" s="114"/>
      <c r="AS412" s="115"/>
      <c r="AT412" s="114"/>
      <c r="AU412" s="114"/>
    </row>
    <row r="413">
      <c r="B413" s="105"/>
      <c r="C413" s="106"/>
      <c r="D413" s="107"/>
      <c r="E413" s="108"/>
      <c r="F413" s="109"/>
      <c r="G413" s="109"/>
      <c r="I413" s="110"/>
      <c r="K413" s="110"/>
      <c r="M413" s="110"/>
      <c r="O413" s="110"/>
      <c r="Q413" s="110"/>
      <c r="S413" s="110"/>
      <c r="T413" s="111"/>
      <c r="U413" s="111"/>
      <c r="W413" s="112"/>
      <c r="Y413" s="112"/>
      <c r="AA413" s="112"/>
      <c r="AC413" s="112"/>
      <c r="AE413" s="112"/>
      <c r="AG413" s="112"/>
      <c r="AI413" s="113"/>
      <c r="AJ413" s="114"/>
      <c r="AK413" s="113"/>
      <c r="AL413" s="114"/>
      <c r="AM413" s="113"/>
      <c r="AN413" s="114"/>
      <c r="AO413" s="115"/>
      <c r="AP413" s="114"/>
      <c r="AQ413" s="115"/>
      <c r="AR413" s="114"/>
      <c r="AS413" s="115"/>
      <c r="AT413" s="114"/>
      <c r="AU413" s="114"/>
    </row>
    <row r="414">
      <c r="B414" s="105"/>
      <c r="C414" s="106"/>
      <c r="D414" s="107"/>
      <c r="E414" s="108"/>
      <c r="F414" s="109"/>
      <c r="G414" s="109"/>
      <c r="I414" s="110"/>
      <c r="K414" s="110"/>
      <c r="M414" s="110"/>
      <c r="O414" s="110"/>
      <c r="Q414" s="110"/>
      <c r="S414" s="110"/>
      <c r="T414" s="111"/>
      <c r="U414" s="111"/>
      <c r="W414" s="112"/>
      <c r="Y414" s="112"/>
      <c r="AA414" s="112"/>
      <c r="AC414" s="112"/>
      <c r="AE414" s="112"/>
      <c r="AG414" s="112"/>
      <c r="AI414" s="113"/>
      <c r="AJ414" s="114"/>
      <c r="AK414" s="113"/>
      <c r="AL414" s="114"/>
      <c r="AM414" s="113"/>
      <c r="AN414" s="114"/>
      <c r="AO414" s="115"/>
      <c r="AP414" s="114"/>
      <c r="AQ414" s="115"/>
      <c r="AR414" s="114"/>
      <c r="AS414" s="115"/>
      <c r="AT414" s="114"/>
      <c r="AU414" s="114"/>
    </row>
    <row r="415">
      <c r="B415" s="105"/>
      <c r="C415" s="106"/>
      <c r="D415" s="107"/>
      <c r="E415" s="108"/>
      <c r="F415" s="109"/>
      <c r="G415" s="109"/>
      <c r="I415" s="110"/>
      <c r="K415" s="110"/>
      <c r="M415" s="110"/>
      <c r="O415" s="110"/>
      <c r="Q415" s="110"/>
      <c r="S415" s="110"/>
      <c r="T415" s="111"/>
      <c r="U415" s="111"/>
      <c r="W415" s="112"/>
      <c r="Y415" s="112"/>
      <c r="AA415" s="112"/>
      <c r="AC415" s="112"/>
      <c r="AE415" s="112"/>
      <c r="AG415" s="112"/>
      <c r="AI415" s="113"/>
      <c r="AJ415" s="114"/>
      <c r="AK415" s="113"/>
      <c r="AL415" s="114"/>
      <c r="AM415" s="113"/>
      <c r="AN415" s="114"/>
      <c r="AO415" s="115"/>
      <c r="AP415" s="114"/>
      <c r="AQ415" s="115"/>
      <c r="AR415" s="114"/>
      <c r="AS415" s="115"/>
      <c r="AT415" s="114"/>
      <c r="AU415" s="114"/>
    </row>
    <row r="416">
      <c r="B416" s="105"/>
      <c r="C416" s="106"/>
      <c r="D416" s="107"/>
      <c r="E416" s="108"/>
      <c r="F416" s="109"/>
      <c r="G416" s="109"/>
      <c r="I416" s="110"/>
      <c r="K416" s="110"/>
      <c r="M416" s="110"/>
      <c r="O416" s="110"/>
      <c r="Q416" s="110"/>
      <c r="S416" s="110"/>
      <c r="T416" s="111"/>
      <c r="U416" s="111"/>
      <c r="W416" s="112"/>
      <c r="Y416" s="112"/>
      <c r="AA416" s="112"/>
      <c r="AC416" s="112"/>
      <c r="AE416" s="112"/>
      <c r="AG416" s="112"/>
      <c r="AI416" s="113"/>
      <c r="AJ416" s="114"/>
      <c r="AK416" s="113"/>
      <c r="AL416" s="114"/>
      <c r="AM416" s="113"/>
      <c r="AN416" s="114"/>
      <c r="AO416" s="115"/>
      <c r="AP416" s="114"/>
      <c r="AQ416" s="115"/>
      <c r="AR416" s="114"/>
      <c r="AS416" s="115"/>
      <c r="AT416" s="114"/>
      <c r="AU416" s="114"/>
    </row>
    <row r="417">
      <c r="B417" s="105"/>
      <c r="C417" s="106"/>
      <c r="D417" s="107"/>
      <c r="E417" s="108"/>
      <c r="F417" s="109"/>
      <c r="G417" s="109"/>
      <c r="I417" s="110"/>
      <c r="K417" s="110"/>
      <c r="M417" s="110"/>
      <c r="O417" s="110"/>
      <c r="Q417" s="110"/>
      <c r="S417" s="110"/>
      <c r="T417" s="111"/>
      <c r="U417" s="111"/>
      <c r="W417" s="112"/>
      <c r="Y417" s="112"/>
      <c r="AA417" s="112"/>
      <c r="AC417" s="112"/>
      <c r="AE417" s="112"/>
      <c r="AG417" s="112"/>
      <c r="AI417" s="113"/>
      <c r="AJ417" s="114"/>
      <c r="AK417" s="113"/>
      <c r="AL417" s="114"/>
      <c r="AM417" s="113"/>
      <c r="AN417" s="114"/>
      <c r="AO417" s="115"/>
      <c r="AP417" s="114"/>
      <c r="AQ417" s="115"/>
      <c r="AR417" s="114"/>
      <c r="AS417" s="115"/>
      <c r="AT417" s="114"/>
      <c r="AU417" s="114"/>
    </row>
    <row r="418">
      <c r="B418" s="105"/>
      <c r="C418" s="106"/>
      <c r="D418" s="107"/>
      <c r="E418" s="108"/>
      <c r="F418" s="109"/>
      <c r="G418" s="109"/>
      <c r="I418" s="110"/>
      <c r="K418" s="110"/>
      <c r="M418" s="110"/>
      <c r="O418" s="110"/>
      <c r="Q418" s="110"/>
      <c r="S418" s="110"/>
      <c r="T418" s="111"/>
      <c r="U418" s="111"/>
      <c r="W418" s="112"/>
      <c r="Y418" s="112"/>
      <c r="AA418" s="112"/>
      <c r="AC418" s="112"/>
      <c r="AE418" s="112"/>
      <c r="AG418" s="112"/>
      <c r="AI418" s="113"/>
      <c r="AJ418" s="114"/>
      <c r="AK418" s="113"/>
      <c r="AL418" s="114"/>
      <c r="AM418" s="113"/>
      <c r="AN418" s="114"/>
      <c r="AO418" s="115"/>
      <c r="AP418" s="114"/>
      <c r="AQ418" s="115"/>
      <c r="AR418" s="114"/>
      <c r="AS418" s="115"/>
      <c r="AT418" s="114"/>
      <c r="AU418" s="114"/>
    </row>
    <row r="419">
      <c r="B419" s="105"/>
      <c r="C419" s="106"/>
      <c r="D419" s="107"/>
      <c r="E419" s="108"/>
      <c r="F419" s="109"/>
      <c r="G419" s="109"/>
      <c r="I419" s="110"/>
      <c r="K419" s="110"/>
      <c r="M419" s="110"/>
      <c r="O419" s="110"/>
      <c r="Q419" s="110"/>
      <c r="S419" s="110"/>
      <c r="T419" s="111"/>
      <c r="U419" s="111"/>
      <c r="W419" s="112"/>
      <c r="Y419" s="112"/>
      <c r="AA419" s="112"/>
      <c r="AC419" s="112"/>
      <c r="AE419" s="112"/>
      <c r="AG419" s="112"/>
      <c r="AI419" s="113"/>
      <c r="AJ419" s="114"/>
      <c r="AK419" s="113"/>
      <c r="AL419" s="114"/>
      <c r="AM419" s="113"/>
      <c r="AN419" s="114"/>
      <c r="AO419" s="115"/>
      <c r="AP419" s="114"/>
      <c r="AQ419" s="115"/>
      <c r="AR419" s="114"/>
      <c r="AS419" s="115"/>
      <c r="AT419" s="114"/>
      <c r="AU419" s="114"/>
    </row>
    <row r="420">
      <c r="B420" s="105"/>
      <c r="C420" s="106"/>
      <c r="D420" s="107"/>
      <c r="E420" s="108"/>
      <c r="F420" s="109"/>
      <c r="G420" s="109"/>
      <c r="I420" s="110"/>
      <c r="K420" s="110"/>
      <c r="M420" s="110"/>
      <c r="O420" s="110"/>
      <c r="Q420" s="110"/>
      <c r="S420" s="110"/>
      <c r="T420" s="111"/>
      <c r="U420" s="111"/>
      <c r="W420" s="112"/>
      <c r="Y420" s="112"/>
      <c r="AA420" s="112"/>
      <c r="AC420" s="112"/>
      <c r="AE420" s="112"/>
      <c r="AG420" s="112"/>
      <c r="AI420" s="113"/>
      <c r="AJ420" s="114"/>
      <c r="AK420" s="113"/>
      <c r="AL420" s="114"/>
      <c r="AM420" s="113"/>
      <c r="AN420" s="114"/>
      <c r="AO420" s="115"/>
      <c r="AP420" s="114"/>
      <c r="AQ420" s="115"/>
      <c r="AR420" s="114"/>
      <c r="AS420" s="115"/>
      <c r="AT420" s="114"/>
      <c r="AU420" s="114"/>
    </row>
    <row r="421">
      <c r="B421" s="105"/>
      <c r="C421" s="106"/>
      <c r="D421" s="107"/>
      <c r="E421" s="108"/>
      <c r="F421" s="109"/>
      <c r="G421" s="109"/>
      <c r="I421" s="110"/>
      <c r="K421" s="110"/>
      <c r="M421" s="110"/>
      <c r="O421" s="110"/>
      <c r="Q421" s="110"/>
      <c r="S421" s="110"/>
      <c r="T421" s="111"/>
      <c r="U421" s="111"/>
      <c r="W421" s="112"/>
      <c r="Y421" s="112"/>
      <c r="AA421" s="112"/>
      <c r="AC421" s="112"/>
      <c r="AE421" s="112"/>
      <c r="AG421" s="112"/>
      <c r="AI421" s="113"/>
      <c r="AJ421" s="114"/>
      <c r="AK421" s="113"/>
      <c r="AL421" s="114"/>
      <c r="AM421" s="113"/>
      <c r="AN421" s="114"/>
      <c r="AO421" s="115"/>
      <c r="AP421" s="114"/>
      <c r="AQ421" s="115"/>
      <c r="AR421" s="114"/>
      <c r="AS421" s="115"/>
      <c r="AT421" s="114"/>
      <c r="AU421" s="114"/>
    </row>
    <row r="422">
      <c r="B422" s="105"/>
      <c r="C422" s="106"/>
      <c r="D422" s="107"/>
      <c r="E422" s="108"/>
      <c r="F422" s="109"/>
      <c r="G422" s="109"/>
      <c r="I422" s="110"/>
      <c r="K422" s="110"/>
      <c r="M422" s="110"/>
      <c r="O422" s="110"/>
      <c r="Q422" s="110"/>
      <c r="S422" s="110"/>
      <c r="T422" s="111"/>
      <c r="U422" s="111"/>
      <c r="W422" s="112"/>
      <c r="Y422" s="112"/>
      <c r="AA422" s="112"/>
      <c r="AC422" s="112"/>
      <c r="AE422" s="112"/>
      <c r="AG422" s="112"/>
      <c r="AI422" s="113"/>
      <c r="AJ422" s="114"/>
      <c r="AK422" s="113"/>
      <c r="AL422" s="114"/>
      <c r="AM422" s="113"/>
      <c r="AN422" s="114"/>
      <c r="AO422" s="115"/>
      <c r="AP422" s="114"/>
      <c r="AQ422" s="115"/>
      <c r="AR422" s="114"/>
      <c r="AS422" s="115"/>
      <c r="AT422" s="114"/>
      <c r="AU422" s="114"/>
    </row>
    <row r="423">
      <c r="B423" s="105"/>
      <c r="C423" s="106"/>
      <c r="D423" s="107"/>
      <c r="E423" s="108"/>
      <c r="F423" s="109"/>
      <c r="G423" s="109"/>
      <c r="I423" s="110"/>
      <c r="K423" s="110"/>
      <c r="M423" s="110"/>
      <c r="O423" s="110"/>
      <c r="Q423" s="110"/>
      <c r="S423" s="110"/>
      <c r="T423" s="111"/>
      <c r="U423" s="111"/>
      <c r="W423" s="112"/>
      <c r="Y423" s="112"/>
      <c r="AA423" s="112"/>
      <c r="AC423" s="112"/>
      <c r="AE423" s="112"/>
      <c r="AG423" s="112"/>
      <c r="AI423" s="113"/>
      <c r="AJ423" s="114"/>
      <c r="AK423" s="113"/>
      <c r="AL423" s="114"/>
      <c r="AM423" s="113"/>
      <c r="AN423" s="114"/>
      <c r="AO423" s="115"/>
      <c r="AP423" s="114"/>
      <c r="AQ423" s="115"/>
      <c r="AR423" s="114"/>
      <c r="AS423" s="115"/>
      <c r="AT423" s="114"/>
      <c r="AU423" s="114"/>
    </row>
    <row r="424">
      <c r="B424" s="105"/>
      <c r="C424" s="106"/>
      <c r="D424" s="107"/>
      <c r="E424" s="108"/>
      <c r="F424" s="109"/>
      <c r="G424" s="109"/>
      <c r="I424" s="110"/>
      <c r="K424" s="110"/>
      <c r="M424" s="110"/>
      <c r="O424" s="110"/>
      <c r="Q424" s="110"/>
      <c r="S424" s="110"/>
      <c r="T424" s="111"/>
      <c r="U424" s="111"/>
      <c r="W424" s="112"/>
      <c r="Y424" s="112"/>
      <c r="AA424" s="112"/>
      <c r="AC424" s="112"/>
      <c r="AE424" s="112"/>
      <c r="AG424" s="112"/>
      <c r="AI424" s="113"/>
      <c r="AJ424" s="114"/>
      <c r="AK424" s="113"/>
      <c r="AL424" s="114"/>
      <c r="AM424" s="113"/>
      <c r="AN424" s="114"/>
      <c r="AO424" s="115"/>
      <c r="AP424" s="114"/>
      <c r="AQ424" s="115"/>
      <c r="AR424" s="114"/>
      <c r="AS424" s="115"/>
      <c r="AT424" s="114"/>
      <c r="AU424" s="114"/>
    </row>
    <row r="425">
      <c r="B425" s="105"/>
      <c r="C425" s="106"/>
      <c r="D425" s="107"/>
      <c r="E425" s="108"/>
      <c r="F425" s="109"/>
      <c r="G425" s="109"/>
      <c r="I425" s="110"/>
      <c r="K425" s="110"/>
      <c r="M425" s="110"/>
      <c r="O425" s="110"/>
      <c r="Q425" s="110"/>
      <c r="S425" s="110"/>
      <c r="T425" s="111"/>
      <c r="U425" s="111"/>
      <c r="W425" s="112"/>
      <c r="Y425" s="112"/>
      <c r="AA425" s="112"/>
      <c r="AC425" s="112"/>
      <c r="AE425" s="112"/>
      <c r="AG425" s="112"/>
      <c r="AI425" s="113"/>
      <c r="AJ425" s="114"/>
      <c r="AK425" s="113"/>
      <c r="AL425" s="114"/>
      <c r="AM425" s="113"/>
      <c r="AN425" s="114"/>
      <c r="AO425" s="115"/>
      <c r="AP425" s="114"/>
      <c r="AQ425" s="115"/>
      <c r="AR425" s="114"/>
      <c r="AS425" s="115"/>
      <c r="AT425" s="114"/>
      <c r="AU425" s="114"/>
    </row>
    <row r="426">
      <c r="B426" s="105"/>
      <c r="C426" s="106"/>
      <c r="D426" s="107"/>
      <c r="E426" s="108"/>
      <c r="F426" s="109"/>
      <c r="G426" s="109"/>
      <c r="I426" s="110"/>
      <c r="K426" s="110"/>
      <c r="M426" s="110"/>
      <c r="O426" s="110"/>
      <c r="Q426" s="110"/>
      <c r="S426" s="110"/>
      <c r="T426" s="111"/>
      <c r="U426" s="111"/>
      <c r="W426" s="112"/>
      <c r="Y426" s="112"/>
      <c r="AA426" s="112"/>
      <c r="AC426" s="112"/>
      <c r="AE426" s="112"/>
      <c r="AG426" s="112"/>
      <c r="AI426" s="113"/>
      <c r="AJ426" s="114"/>
      <c r="AK426" s="113"/>
      <c r="AL426" s="114"/>
      <c r="AM426" s="113"/>
      <c r="AN426" s="114"/>
      <c r="AO426" s="115"/>
      <c r="AP426" s="114"/>
      <c r="AQ426" s="115"/>
      <c r="AR426" s="114"/>
      <c r="AS426" s="115"/>
      <c r="AT426" s="114"/>
      <c r="AU426" s="114"/>
    </row>
    <row r="427">
      <c r="B427" s="105"/>
      <c r="C427" s="106"/>
      <c r="D427" s="107"/>
      <c r="E427" s="108"/>
      <c r="F427" s="109"/>
      <c r="G427" s="109"/>
      <c r="I427" s="110"/>
      <c r="K427" s="110"/>
      <c r="M427" s="110"/>
      <c r="O427" s="110"/>
      <c r="Q427" s="110"/>
      <c r="S427" s="110"/>
      <c r="T427" s="111"/>
      <c r="U427" s="111"/>
      <c r="W427" s="112"/>
      <c r="Y427" s="112"/>
      <c r="AA427" s="112"/>
      <c r="AC427" s="112"/>
      <c r="AE427" s="112"/>
      <c r="AG427" s="112"/>
      <c r="AI427" s="113"/>
      <c r="AJ427" s="114"/>
      <c r="AK427" s="113"/>
      <c r="AL427" s="114"/>
      <c r="AM427" s="113"/>
      <c r="AN427" s="114"/>
      <c r="AO427" s="115"/>
      <c r="AP427" s="114"/>
      <c r="AQ427" s="115"/>
      <c r="AR427" s="114"/>
      <c r="AS427" s="115"/>
      <c r="AT427" s="114"/>
      <c r="AU427" s="114"/>
    </row>
    <row r="428">
      <c r="B428" s="105"/>
      <c r="C428" s="106"/>
      <c r="D428" s="107"/>
      <c r="E428" s="108"/>
      <c r="F428" s="109"/>
      <c r="G428" s="109"/>
      <c r="I428" s="110"/>
      <c r="K428" s="110"/>
      <c r="M428" s="110"/>
      <c r="O428" s="110"/>
      <c r="Q428" s="110"/>
      <c r="S428" s="110"/>
      <c r="T428" s="111"/>
      <c r="U428" s="111"/>
      <c r="W428" s="112"/>
      <c r="Y428" s="112"/>
      <c r="AA428" s="112"/>
      <c r="AC428" s="112"/>
      <c r="AE428" s="112"/>
      <c r="AG428" s="112"/>
      <c r="AI428" s="113"/>
      <c r="AJ428" s="114"/>
      <c r="AK428" s="113"/>
      <c r="AL428" s="114"/>
      <c r="AM428" s="113"/>
      <c r="AN428" s="114"/>
      <c r="AO428" s="115"/>
      <c r="AP428" s="114"/>
      <c r="AQ428" s="115"/>
      <c r="AR428" s="114"/>
      <c r="AS428" s="115"/>
      <c r="AT428" s="114"/>
      <c r="AU428" s="114"/>
    </row>
    <row r="429">
      <c r="B429" s="105"/>
      <c r="C429" s="106"/>
      <c r="D429" s="107"/>
      <c r="E429" s="108"/>
      <c r="F429" s="109"/>
      <c r="G429" s="109"/>
      <c r="I429" s="110"/>
      <c r="K429" s="110"/>
      <c r="M429" s="110"/>
      <c r="O429" s="110"/>
      <c r="Q429" s="110"/>
      <c r="S429" s="110"/>
      <c r="T429" s="111"/>
      <c r="U429" s="111"/>
      <c r="W429" s="112"/>
      <c r="Y429" s="112"/>
      <c r="AA429" s="112"/>
      <c r="AC429" s="112"/>
      <c r="AE429" s="112"/>
      <c r="AG429" s="112"/>
      <c r="AI429" s="113"/>
      <c r="AJ429" s="114"/>
      <c r="AK429" s="113"/>
      <c r="AL429" s="114"/>
      <c r="AM429" s="113"/>
      <c r="AN429" s="114"/>
      <c r="AO429" s="115"/>
      <c r="AP429" s="114"/>
      <c r="AQ429" s="115"/>
      <c r="AR429" s="114"/>
      <c r="AS429" s="115"/>
      <c r="AT429" s="114"/>
      <c r="AU429" s="114"/>
    </row>
    <row r="430">
      <c r="B430" s="105"/>
      <c r="C430" s="106"/>
      <c r="D430" s="107"/>
      <c r="E430" s="108"/>
      <c r="F430" s="109"/>
      <c r="G430" s="109"/>
      <c r="I430" s="110"/>
      <c r="K430" s="110"/>
      <c r="M430" s="110"/>
      <c r="O430" s="110"/>
      <c r="Q430" s="110"/>
      <c r="S430" s="110"/>
      <c r="T430" s="111"/>
      <c r="U430" s="111"/>
      <c r="W430" s="112"/>
      <c r="Y430" s="112"/>
      <c r="AA430" s="112"/>
      <c r="AC430" s="112"/>
      <c r="AE430" s="112"/>
      <c r="AG430" s="112"/>
      <c r="AI430" s="113"/>
      <c r="AJ430" s="114"/>
      <c r="AK430" s="113"/>
      <c r="AL430" s="114"/>
      <c r="AM430" s="113"/>
      <c r="AN430" s="114"/>
      <c r="AO430" s="115"/>
      <c r="AP430" s="114"/>
      <c r="AQ430" s="115"/>
      <c r="AR430" s="114"/>
      <c r="AS430" s="115"/>
      <c r="AT430" s="114"/>
      <c r="AU430" s="114"/>
    </row>
    <row r="431">
      <c r="B431" s="105"/>
      <c r="C431" s="106"/>
      <c r="D431" s="107"/>
      <c r="E431" s="108"/>
      <c r="F431" s="109"/>
      <c r="G431" s="109"/>
      <c r="I431" s="110"/>
      <c r="K431" s="110"/>
      <c r="M431" s="110"/>
      <c r="O431" s="110"/>
      <c r="Q431" s="110"/>
      <c r="S431" s="110"/>
      <c r="T431" s="111"/>
      <c r="U431" s="111"/>
      <c r="W431" s="112"/>
      <c r="Y431" s="112"/>
      <c r="AA431" s="112"/>
      <c r="AC431" s="112"/>
      <c r="AE431" s="112"/>
      <c r="AG431" s="112"/>
      <c r="AI431" s="113"/>
      <c r="AJ431" s="114"/>
      <c r="AK431" s="113"/>
      <c r="AL431" s="114"/>
      <c r="AM431" s="113"/>
      <c r="AN431" s="114"/>
      <c r="AO431" s="115"/>
      <c r="AP431" s="114"/>
      <c r="AQ431" s="115"/>
      <c r="AR431" s="114"/>
      <c r="AS431" s="115"/>
      <c r="AT431" s="114"/>
      <c r="AU431" s="114"/>
    </row>
    <row r="432">
      <c r="B432" s="105"/>
      <c r="C432" s="106"/>
      <c r="D432" s="107"/>
      <c r="E432" s="108"/>
      <c r="F432" s="109"/>
      <c r="G432" s="109"/>
      <c r="I432" s="110"/>
      <c r="K432" s="110"/>
      <c r="M432" s="110"/>
      <c r="O432" s="110"/>
      <c r="Q432" s="110"/>
      <c r="S432" s="110"/>
      <c r="T432" s="111"/>
      <c r="U432" s="111"/>
      <c r="W432" s="112"/>
      <c r="Y432" s="112"/>
      <c r="AA432" s="112"/>
      <c r="AC432" s="112"/>
      <c r="AE432" s="112"/>
      <c r="AG432" s="112"/>
      <c r="AI432" s="113"/>
      <c r="AJ432" s="114"/>
      <c r="AK432" s="113"/>
      <c r="AL432" s="114"/>
      <c r="AM432" s="113"/>
      <c r="AN432" s="114"/>
      <c r="AO432" s="115"/>
      <c r="AP432" s="114"/>
      <c r="AQ432" s="115"/>
      <c r="AR432" s="114"/>
      <c r="AS432" s="115"/>
      <c r="AT432" s="114"/>
      <c r="AU432" s="114"/>
    </row>
    <row r="433">
      <c r="B433" s="105"/>
      <c r="C433" s="106"/>
      <c r="D433" s="107"/>
      <c r="E433" s="108"/>
      <c r="F433" s="109"/>
      <c r="G433" s="109"/>
      <c r="I433" s="110"/>
      <c r="K433" s="110"/>
      <c r="M433" s="110"/>
      <c r="O433" s="110"/>
      <c r="Q433" s="110"/>
      <c r="S433" s="110"/>
      <c r="T433" s="111"/>
      <c r="U433" s="111"/>
      <c r="W433" s="112"/>
      <c r="Y433" s="112"/>
      <c r="AA433" s="112"/>
      <c r="AC433" s="112"/>
      <c r="AE433" s="112"/>
      <c r="AG433" s="112"/>
      <c r="AI433" s="113"/>
      <c r="AJ433" s="114"/>
      <c r="AK433" s="113"/>
      <c r="AL433" s="114"/>
      <c r="AM433" s="113"/>
      <c r="AN433" s="114"/>
      <c r="AO433" s="115"/>
      <c r="AP433" s="114"/>
      <c r="AQ433" s="115"/>
      <c r="AR433" s="114"/>
      <c r="AS433" s="115"/>
      <c r="AT433" s="114"/>
      <c r="AU433" s="114"/>
    </row>
    <row r="434">
      <c r="B434" s="105"/>
      <c r="C434" s="106"/>
      <c r="D434" s="107"/>
      <c r="E434" s="108"/>
      <c r="F434" s="109"/>
      <c r="G434" s="109"/>
      <c r="I434" s="110"/>
      <c r="K434" s="110"/>
      <c r="M434" s="110"/>
      <c r="O434" s="110"/>
      <c r="Q434" s="110"/>
      <c r="S434" s="110"/>
      <c r="T434" s="111"/>
      <c r="U434" s="111"/>
      <c r="W434" s="112"/>
      <c r="Y434" s="112"/>
      <c r="AA434" s="112"/>
      <c r="AC434" s="112"/>
      <c r="AE434" s="112"/>
      <c r="AG434" s="112"/>
      <c r="AI434" s="113"/>
      <c r="AJ434" s="114"/>
      <c r="AK434" s="113"/>
      <c r="AL434" s="114"/>
      <c r="AM434" s="113"/>
      <c r="AN434" s="114"/>
      <c r="AO434" s="115"/>
      <c r="AP434" s="114"/>
      <c r="AQ434" s="115"/>
      <c r="AR434" s="114"/>
      <c r="AS434" s="115"/>
      <c r="AT434" s="114"/>
      <c r="AU434" s="114"/>
    </row>
    <row r="435">
      <c r="B435" s="105"/>
      <c r="C435" s="106"/>
      <c r="D435" s="107"/>
      <c r="E435" s="108"/>
      <c r="F435" s="109"/>
      <c r="G435" s="109"/>
      <c r="I435" s="110"/>
      <c r="K435" s="110"/>
      <c r="M435" s="110"/>
      <c r="O435" s="110"/>
      <c r="Q435" s="110"/>
      <c r="S435" s="110"/>
      <c r="T435" s="111"/>
      <c r="U435" s="111"/>
      <c r="W435" s="112"/>
      <c r="Y435" s="112"/>
      <c r="AA435" s="112"/>
      <c r="AC435" s="112"/>
      <c r="AE435" s="112"/>
      <c r="AG435" s="112"/>
      <c r="AI435" s="113"/>
      <c r="AJ435" s="114"/>
      <c r="AK435" s="113"/>
      <c r="AL435" s="114"/>
      <c r="AM435" s="113"/>
      <c r="AN435" s="114"/>
      <c r="AO435" s="115"/>
      <c r="AP435" s="114"/>
      <c r="AQ435" s="115"/>
      <c r="AR435" s="114"/>
      <c r="AS435" s="115"/>
      <c r="AT435" s="114"/>
      <c r="AU435" s="114"/>
    </row>
    <row r="436">
      <c r="B436" s="105"/>
      <c r="C436" s="106"/>
      <c r="D436" s="107"/>
      <c r="E436" s="108"/>
      <c r="F436" s="109"/>
      <c r="G436" s="109"/>
      <c r="I436" s="110"/>
      <c r="K436" s="110"/>
      <c r="M436" s="110"/>
      <c r="O436" s="110"/>
      <c r="Q436" s="110"/>
      <c r="S436" s="110"/>
      <c r="T436" s="111"/>
      <c r="U436" s="111"/>
      <c r="W436" s="112"/>
      <c r="Y436" s="112"/>
      <c r="AA436" s="112"/>
      <c r="AC436" s="112"/>
      <c r="AE436" s="112"/>
      <c r="AG436" s="112"/>
      <c r="AI436" s="113"/>
      <c r="AJ436" s="114"/>
      <c r="AK436" s="113"/>
      <c r="AL436" s="114"/>
      <c r="AM436" s="113"/>
      <c r="AN436" s="114"/>
      <c r="AO436" s="115"/>
      <c r="AP436" s="114"/>
      <c r="AQ436" s="115"/>
      <c r="AR436" s="114"/>
      <c r="AS436" s="115"/>
      <c r="AT436" s="114"/>
      <c r="AU436" s="114"/>
    </row>
    <row r="437">
      <c r="B437" s="105"/>
      <c r="C437" s="106"/>
      <c r="D437" s="107"/>
      <c r="E437" s="108"/>
      <c r="F437" s="109"/>
      <c r="G437" s="109"/>
      <c r="I437" s="110"/>
      <c r="K437" s="110"/>
      <c r="M437" s="110"/>
      <c r="O437" s="110"/>
      <c r="Q437" s="110"/>
      <c r="S437" s="110"/>
      <c r="T437" s="111"/>
      <c r="U437" s="111"/>
      <c r="W437" s="112"/>
      <c r="Y437" s="112"/>
      <c r="AA437" s="112"/>
      <c r="AC437" s="112"/>
      <c r="AE437" s="112"/>
      <c r="AG437" s="112"/>
      <c r="AI437" s="113"/>
      <c r="AJ437" s="114"/>
      <c r="AK437" s="113"/>
      <c r="AL437" s="114"/>
      <c r="AM437" s="113"/>
      <c r="AN437" s="114"/>
      <c r="AO437" s="115"/>
      <c r="AP437" s="114"/>
      <c r="AQ437" s="115"/>
      <c r="AR437" s="114"/>
      <c r="AS437" s="115"/>
      <c r="AT437" s="114"/>
      <c r="AU437" s="114"/>
    </row>
    <row r="438">
      <c r="B438" s="105"/>
      <c r="C438" s="106"/>
      <c r="D438" s="107"/>
      <c r="E438" s="108"/>
      <c r="F438" s="109"/>
      <c r="G438" s="109"/>
      <c r="I438" s="110"/>
      <c r="K438" s="110"/>
      <c r="M438" s="110"/>
      <c r="O438" s="110"/>
      <c r="Q438" s="110"/>
      <c r="S438" s="110"/>
      <c r="T438" s="111"/>
      <c r="U438" s="111"/>
      <c r="W438" s="112"/>
      <c r="Y438" s="112"/>
      <c r="AA438" s="112"/>
      <c r="AC438" s="112"/>
      <c r="AE438" s="112"/>
      <c r="AG438" s="112"/>
      <c r="AI438" s="113"/>
      <c r="AJ438" s="114"/>
      <c r="AK438" s="113"/>
      <c r="AL438" s="114"/>
      <c r="AM438" s="113"/>
      <c r="AN438" s="114"/>
      <c r="AO438" s="115"/>
      <c r="AP438" s="114"/>
      <c r="AQ438" s="115"/>
      <c r="AR438" s="114"/>
      <c r="AS438" s="115"/>
      <c r="AT438" s="114"/>
      <c r="AU438" s="114"/>
    </row>
    <row r="439">
      <c r="B439" s="105"/>
      <c r="C439" s="106"/>
      <c r="D439" s="107"/>
      <c r="E439" s="108"/>
      <c r="F439" s="109"/>
      <c r="G439" s="109"/>
      <c r="I439" s="110"/>
      <c r="K439" s="110"/>
      <c r="M439" s="110"/>
      <c r="O439" s="110"/>
      <c r="Q439" s="110"/>
      <c r="S439" s="110"/>
      <c r="T439" s="111"/>
      <c r="U439" s="111"/>
      <c r="W439" s="112"/>
      <c r="Y439" s="112"/>
      <c r="AA439" s="112"/>
      <c r="AC439" s="112"/>
      <c r="AE439" s="112"/>
      <c r="AG439" s="112"/>
      <c r="AI439" s="113"/>
      <c r="AJ439" s="114"/>
      <c r="AK439" s="113"/>
      <c r="AL439" s="114"/>
      <c r="AM439" s="113"/>
      <c r="AN439" s="114"/>
      <c r="AO439" s="115"/>
      <c r="AP439" s="114"/>
      <c r="AQ439" s="115"/>
      <c r="AR439" s="114"/>
      <c r="AS439" s="115"/>
      <c r="AT439" s="114"/>
      <c r="AU439" s="114"/>
    </row>
    <row r="440">
      <c r="B440" s="105"/>
      <c r="C440" s="106"/>
      <c r="D440" s="107"/>
      <c r="E440" s="108"/>
      <c r="F440" s="109"/>
      <c r="G440" s="109"/>
      <c r="I440" s="110"/>
      <c r="K440" s="110"/>
      <c r="M440" s="110"/>
      <c r="O440" s="110"/>
      <c r="Q440" s="110"/>
      <c r="S440" s="110"/>
      <c r="T440" s="111"/>
      <c r="U440" s="111"/>
      <c r="W440" s="112"/>
      <c r="Y440" s="112"/>
      <c r="AA440" s="112"/>
      <c r="AC440" s="112"/>
      <c r="AE440" s="112"/>
      <c r="AG440" s="112"/>
      <c r="AI440" s="113"/>
      <c r="AJ440" s="114"/>
      <c r="AK440" s="113"/>
      <c r="AL440" s="114"/>
      <c r="AM440" s="113"/>
      <c r="AN440" s="114"/>
      <c r="AO440" s="115"/>
      <c r="AP440" s="114"/>
      <c r="AQ440" s="115"/>
      <c r="AR440" s="114"/>
      <c r="AS440" s="115"/>
      <c r="AT440" s="114"/>
      <c r="AU440" s="114"/>
    </row>
    <row r="441">
      <c r="B441" s="105"/>
      <c r="C441" s="106"/>
      <c r="D441" s="107"/>
      <c r="E441" s="108"/>
      <c r="F441" s="109"/>
      <c r="G441" s="109"/>
      <c r="I441" s="110"/>
      <c r="K441" s="110"/>
      <c r="M441" s="110"/>
      <c r="O441" s="110"/>
      <c r="Q441" s="110"/>
      <c r="S441" s="110"/>
      <c r="T441" s="111"/>
      <c r="U441" s="111"/>
      <c r="W441" s="112"/>
      <c r="Y441" s="112"/>
      <c r="AA441" s="112"/>
      <c r="AC441" s="112"/>
      <c r="AE441" s="112"/>
      <c r="AG441" s="112"/>
      <c r="AI441" s="113"/>
      <c r="AJ441" s="114"/>
      <c r="AK441" s="113"/>
      <c r="AL441" s="114"/>
      <c r="AM441" s="113"/>
      <c r="AN441" s="114"/>
      <c r="AO441" s="115"/>
      <c r="AP441" s="114"/>
      <c r="AQ441" s="115"/>
      <c r="AR441" s="114"/>
      <c r="AS441" s="115"/>
      <c r="AT441" s="114"/>
      <c r="AU441" s="114"/>
    </row>
    <row r="442">
      <c r="B442" s="105"/>
      <c r="C442" s="106"/>
      <c r="D442" s="107"/>
      <c r="E442" s="108"/>
      <c r="F442" s="109"/>
      <c r="G442" s="109"/>
      <c r="I442" s="110"/>
      <c r="K442" s="110"/>
      <c r="M442" s="110"/>
      <c r="O442" s="110"/>
      <c r="Q442" s="110"/>
      <c r="S442" s="110"/>
      <c r="T442" s="111"/>
      <c r="U442" s="111"/>
      <c r="W442" s="112"/>
      <c r="Y442" s="112"/>
      <c r="AA442" s="112"/>
      <c r="AC442" s="112"/>
      <c r="AE442" s="112"/>
      <c r="AG442" s="112"/>
      <c r="AI442" s="113"/>
      <c r="AJ442" s="114"/>
      <c r="AK442" s="113"/>
      <c r="AL442" s="114"/>
      <c r="AM442" s="113"/>
      <c r="AN442" s="114"/>
      <c r="AO442" s="115"/>
      <c r="AP442" s="114"/>
      <c r="AQ442" s="115"/>
      <c r="AR442" s="114"/>
      <c r="AS442" s="115"/>
      <c r="AT442" s="114"/>
      <c r="AU442" s="114"/>
    </row>
    <row r="443">
      <c r="B443" s="105"/>
      <c r="C443" s="106"/>
      <c r="D443" s="107"/>
      <c r="E443" s="108"/>
      <c r="F443" s="109"/>
      <c r="G443" s="109"/>
      <c r="I443" s="110"/>
      <c r="K443" s="110"/>
      <c r="M443" s="110"/>
      <c r="O443" s="110"/>
      <c r="Q443" s="110"/>
      <c r="S443" s="110"/>
      <c r="T443" s="111"/>
      <c r="U443" s="111"/>
      <c r="W443" s="112"/>
      <c r="Y443" s="112"/>
      <c r="AA443" s="112"/>
      <c r="AC443" s="112"/>
      <c r="AE443" s="112"/>
      <c r="AG443" s="112"/>
      <c r="AI443" s="113"/>
      <c r="AJ443" s="114"/>
      <c r="AK443" s="113"/>
      <c r="AL443" s="114"/>
      <c r="AM443" s="113"/>
      <c r="AN443" s="114"/>
      <c r="AO443" s="115"/>
      <c r="AP443" s="114"/>
      <c r="AQ443" s="115"/>
      <c r="AR443" s="114"/>
      <c r="AS443" s="115"/>
      <c r="AT443" s="114"/>
      <c r="AU443" s="114"/>
    </row>
    <row r="444">
      <c r="B444" s="105"/>
      <c r="C444" s="106"/>
      <c r="D444" s="107"/>
      <c r="E444" s="108"/>
      <c r="F444" s="109"/>
      <c r="G444" s="109"/>
      <c r="I444" s="110"/>
      <c r="K444" s="110"/>
      <c r="M444" s="110"/>
      <c r="O444" s="110"/>
      <c r="Q444" s="110"/>
      <c r="S444" s="110"/>
      <c r="T444" s="111"/>
      <c r="U444" s="111"/>
      <c r="W444" s="112"/>
      <c r="Y444" s="112"/>
      <c r="AA444" s="112"/>
      <c r="AC444" s="112"/>
      <c r="AE444" s="112"/>
      <c r="AG444" s="112"/>
      <c r="AI444" s="113"/>
      <c r="AJ444" s="114"/>
      <c r="AK444" s="113"/>
      <c r="AL444" s="114"/>
      <c r="AM444" s="113"/>
      <c r="AN444" s="114"/>
      <c r="AO444" s="115"/>
      <c r="AP444" s="114"/>
      <c r="AQ444" s="115"/>
      <c r="AR444" s="114"/>
      <c r="AS444" s="115"/>
      <c r="AT444" s="114"/>
      <c r="AU444" s="114"/>
    </row>
    <row r="445">
      <c r="B445" s="105"/>
      <c r="C445" s="106"/>
      <c r="D445" s="107"/>
      <c r="E445" s="108"/>
      <c r="F445" s="109"/>
      <c r="G445" s="109"/>
      <c r="I445" s="110"/>
      <c r="K445" s="110"/>
      <c r="M445" s="110"/>
      <c r="O445" s="110"/>
      <c r="Q445" s="110"/>
      <c r="S445" s="110"/>
      <c r="T445" s="111"/>
      <c r="U445" s="111"/>
      <c r="W445" s="112"/>
      <c r="Y445" s="112"/>
      <c r="AA445" s="112"/>
      <c r="AC445" s="112"/>
      <c r="AE445" s="112"/>
      <c r="AG445" s="112"/>
      <c r="AI445" s="113"/>
      <c r="AJ445" s="114"/>
      <c r="AK445" s="113"/>
      <c r="AL445" s="114"/>
      <c r="AM445" s="113"/>
      <c r="AN445" s="114"/>
      <c r="AO445" s="115"/>
      <c r="AP445" s="114"/>
      <c r="AQ445" s="115"/>
      <c r="AR445" s="114"/>
      <c r="AS445" s="115"/>
      <c r="AT445" s="114"/>
      <c r="AU445" s="114"/>
    </row>
    <row r="446">
      <c r="B446" s="105"/>
      <c r="C446" s="106"/>
      <c r="D446" s="107"/>
      <c r="E446" s="108"/>
      <c r="F446" s="109"/>
      <c r="G446" s="109"/>
      <c r="I446" s="110"/>
      <c r="K446" s="110"/>
      <c r="M446" s="110"/>
      <c r="O446" s="110"/>
      <c r="Q446" s="110"/>
      <c r="S446" s="110"/>
      <c r="T446" s="111"/>
      <c r="U446" s="111"/>
      <c r="W446" s="112"/>
      <c r="Y446" s="112"/>
      <c r="AA446" s="112"/>
      <c r="AC446" s="112"/>
      <c r="AE446" s="112"/>
      <c r="AG446" s="112"/>
      <c r="AI446" s="113"/>
      <c r="AJ446" s="114"/>
      <c r="AK446" s="113"/>
      <c r="AL446" s="114"/>
      <c r="AM446" s="113"/>
      <c r="AN446" s="114"/>
      <c r="AO446" s="115"/>
      <c r="AP446" s="114"/>
      <c r="AQ446" s="115"/>
      <c r="AR446" s="114"/>
      <c r="AS446" s="115"/>
      <c r="AT446" s="114"/>
      <c r="AU446" s="114"/>
    </row>
    <row r="447">
      <c r="B447" s="105"/>
      <c r="C447" s="106"/>
      <c r="D447" s="107"/>
      <c r="E447" s="108"/>
      <c r="F447" s="109"/>
      <c r="G447" s="109"/>
      <c r="I447" s="110"/>
      <c r="K447" s="110"/>
      <c r="M447" s="110"/>
      <c r="O447" s="110"/>
      <c r="Q447" s="110"/>
      <c r="S447" s="110"/>
      <c r="T447" s="111"/>
      <c r="U447" s="111"/>
      <c r="W447" s="112"/>
      <c r="Y447" s="112"/>
      <c r="AA447" s="112"/>
      <c r="AC447" s="112"/>
      <c r="AE447" s="112"/>
      <c r="AG447" s="112"/>
      <c r="AI447" s="113"/>
      <c r="AJ447" s="114"/>
      <c r="AK447" s="113"/>
      <c r="AL447" s="114"/>
      <c r="AM447" s="113"/>
      <c r="AN447" s="114"/>
      <c r="AO447" s="115"/>
      <c r="AP447" s="114"/>
      <c r="AQ447" s="115"/>
      <c r="AR447" s="114"/>
      <c r="AS447" s="115"/>
      <c r="AT447" s="114"/>
      <c r="AU447" s="114"/>
    </row>
    <row r="448">
      <c r="B448" s="105"/>
      <c r="C448" s="106"/>
      <c r="D448" s="107"/>
      <c r="E448" s="108"/>
      <c r="F448" s="109"/>
      <c r="G448" s="109"/>
      <c r="I448" s="110"/>
      <c r="K448" s="110"/>
      <c r="M448" s="110"/>
      <c r="O448" s="110"/>
      <c r="Q448" s="110"/>
      <c r="S448" s="110"/>
      <c r="T448" s="111"/>
      <c r="U448" s="111"/>
      <c r="W448" s="112"/>
      <c r="Y448" s="112"/>
      <c r="AA448" s="112"/>
      <c r="AC448" s="112"/>
      <c r="AE448" s="112"/>
      <c r="AG448" s="112"/>
      <c r="AI448" s="113"/>
      <c r="AJ448" s="114"/>
      <c r="AK448" s="113"/>
      <c r="AL448" s="114"/>
      <c r="AM448" s="113"/>
      <c r="AN448" s="114"/>
      <c r="AO448" s="115"/>
      <c r="AP448" s="114"/>
      <c r="AQ448" s="115"/>
      <c r="AR448" s="114"/>
      <c r="AS448" s="115"/>
      <c r="AT448" s="114"/>
      <c r="AU448" s="114"/>
    </row>
    <row r="449">
      <c r="B449" s="105"/>
      <c r="C449" s="106"/>
      <c r="D449" s="107"/>
      <c r="E449" s="108"/>
      <c r="F449" s="109"/>
      <c r="G449" s="109"/>
      <c r="I449" s="110"/>
      <c r="K449" s="110"/>
      <c r="M449" s="110"/>
      <c r="O449" s="110"/>
      <c r="Q449" s="110"/>
      <c r="S449" s="110"/>
      <c r="T449" s="111"/>
      <c r="U449" s="111"/>
      <c r="W449" s="112"/>
      <c r="Y449" s="112"/>
      <c r="AA449" s="112"/>
      <c r="AC449" s="112"/>
      <c r="AE449" s="112"/>
      <c r="AG449" s="112"/>
      <c r="AI449" s="113"/>
      <c r="AJ449" s="114"/>
      <c r="AK449" s="113"/>
      <c r="AL449" s="114"/>
      <c r="AM449" s="113"/>
      <c r="AN449" s="114"/>
      <c r="AO449" s="115"/>
      <c r="AP449" s="114"/>
      <c r="AQ449" s="115"/>
      <c r="AR449" s="114"/>
      <c r="AS449" s="115"/>
      <c r="AT449" s="114"/>
      <c r="AU449" s="114"/>
    </row>
    <row r="450">
      <c r="B450" s="105"/>
      <c r="C450" s="106"/>
      <c r="D450" s="107"/>
      <c r="E450" s="108"/>
      <c r="F450" s="109"/>
      <c r="G450" s="109"/>
      <c r="I450" s="110"/>
      <c r="K450" s="110"/>
      <c r="M450" s="110"/>
      <c r="O450" s="110"/>
      <c r="Q450" s="110"/>
      <c r="S450" s="110"/>
      <c r="T450" s="111"/>
      <c r="U450" s="111"/>
      <c r="W450" s="112"/>
      <c r="Y450" s="112"/>
      <c r="AA450" s="112"/>
      <c r="AC450" s="112"/>
      <c r="AE450" s="112"/>
      <c r="AG450" s="112"/>
      <c r="AI450" s="113"/>
      <c r="AJ450" s="114"/>
      <c r="AK450" s="113"/>
      <c r="AL450" s="114"/>
      <c r="AM450" s="113"/>
      <c r="AN450" s="114"/>
      <c r="AO450" s="115"/>
      <c r="AP450" s="114"/>
      <c r="AQ450" s="115"/>
      <c r="AR450" s="114"/>
      <c r="AS450" s="115"/>
      <c r="AT450" s="114"/>
      <c r="AU450" s="114"/>
    </row>
    <row r="451">
      <c r="B451" s="105"/>
      <c r="C451" s="106"/>
      <c r="D451" s="107"/>
      <c r="E451" s="108"/>
      <c r="F451" s="109"/>
      <c r="G451" s="109"/>
      <c r="I451" s="110"/>
      <c r="K451" s="110"/>
      <c r="M451" s="110"/>
      <c r="O451" s="110"/>
      <c r="Q451" s="110"/>
      <c r="S451" s="110"/>
      <c r="T451" s="111"/>
      <c r="U451" s="111"/>
      <c r="W451" s="112"/>
      <c r="Y451" s="112"/>
      <c r="AA451" s="112"/>
      <c r="AC451" s="112"/>
      <c r="AE451" s="112"/>
      <c r="AG451" s="112"/>
      <c r="AI451" s="113"/>
      <c r="AJ451" s="114"/>
      <c r="AK451" s="113"/>
      <c r="AL451" s="114"/>
      <c r="AM451" s="113"/>
      <c r="AN451" s="114"/>
      <c r="AO451" s="115"/>
      <c r="AP451" s="114"/>
      <c r="AQ451" s="115"/>
      <c r="AR451" s="114"/>
      <c r="AS451" s="115"/>
      <c r="AT451" s="114"/>
      <c r="AU451" s="114"/>
    </row>
    <row r="452">
      <c r="B452" s="105"/>
      <c r="C452" s="106"/>
      <c r="D452" s="107"/>
      <c r="E452" s="108"/>
      <c r="F452" s="109"/>
      <c r="G452" s="109"/>
      <c r="I452" s="110"/>
      <c r="K452" s="110"/>
      <c r="M452" s="110"/>
      <c r="O452" s="110"/>
      <c r="Q452" s="110"/>
      <c r="S452" s="110"/>
      <c r="T452" s="111"/>
      <c r="U452" s="111"/>
      <c r="W452" s="112"/>
      <c r="Y452" s="112"/>
      <c r="AA452" s="112"/>
      <c r="AC452" s="112"/>
      <c r="AE452" s="112"/>
      <c r="AG452" s="112"/>
      <c r="AI452" s="113"/>
      <c r="AJ452" s="114"/>
      <c r="AK452" s="113"/>
      <c r="AL452" s="114"/>
      <c r="AM452" s="113"/>
      <c r="AN452" s="114"/>
      <c r="AO452" s="115"/>
      <c r="AP452" s="114"/>
      <c r="AQ452" s="115"/>
      <c r="AR452" s="114"/>
      <c r="AS452" s="115"/>
      <c r="AT452" s="114"/>
      <c r="AU452" s="114"/>
    </row>
    <row r="453">
      <c r="B453" s="105"/>
      <c r="C453" s="106"/>
      <c r="D453" s="107"/>
      <c r="E453" s="108"/>
      <c r="F453" s="109"/>
      <c r="G453" s="109"/>
      <c r="I453" s="110"/>
      <c r="K453" s="110"/>
      <c r="M453" s="110"/>
      <c r="O453" s="110"/>
      <c r="Q453" s="110"/>
      <c r="S453" s="110"/>
      <c r="T453" s="111"/>
      <c r="U453" s="111"/>
      <c r="W453" s="112"/>
      <c r="Y453" s="112"/>
      <c r="AA453" s="112"/>
      <c r="AC453" s="112"/>
      <c r="AE453" s="112"/>
      <c r="AG453" s="112"/>
      <c r="AI453" s="113"/>
      <c r="AJ453" s="114"/>
      <c r="AK453" s="113"/>
      <c r="AL453" s="114"/>
      <c r="AM453" s="113"/>
      <c r="AN453" s="114"/>
      <c r="AO453" s="115"/>
      <c r="AP453" s="114"/>
      <c r="AQ453" s="115"/>
      <c r="AR453" s="114"/>
      <c r="AS453" s="115"/>
      <c r="AT453" s="114"/>
      <c r="AU453" s="114"/>
    </row>
    <row r="454">
      <c r="B454" s="105"/>
      <c r="C454" s="106"/>
      <c r="D454" s="107"/>
      <c r="E454" s="108"/>
      <c r="F454" s="109"/>
      <c r="G454" s="109"/>
      <c r="I454" s="110"/>
      <c r="K454" s="110"/>
      <c r="M454" s="110"/>
      <c r="O454" s="110"/>
      <c r="Q454" s="110"/>
      <c r="S454" s="110"/>
      <c r="T454" s="111"/>
      <c r="U454" s="111"/>
      <c r="W454" s="112"/>
      <c r="Y454" s="112"/>
      <c r="AA454" s="112"/>
      <c r="AC454" s="112"/>
      <c r="AE454" s="112"/>
      <c r="AG454" s="112"/>
      <c r="AI454" s="113"/>
      <c r="AJ454" s="114"/>
      <c r="AK454" s="113"/>
      <c r="AL454" s="114"/>
      <c r="AM454" s="113"/>
      <c r="AN454" s="114"/>
      <c r="AO454" s="115"/>
      <c r="AP454" s="114"/>
      <c r="AQ454" s="115"/>
      <c r="AR454" s="114"/>
      <c r="AS454" s="115"/>
      <c r="AT454" s="114"/>
      <c r="AU454" s="114"/>
    </row>
    <row r="455">
      <c r="B455" s="105"/>
      <c r="C455" s="106"/>
      <c r="D455" s="107"/>
      <c r="E455" s="108"/>
      <c r="F455" s="109"/>
      <c r="G455" s="109"/>
      <c r="I455" s="110"/>
      <c r="K455" s="110"/>
      <c r="M455" s="110"/>
      <c r="O455" s="110"/>
      <c r="Q455" s="110"/>
      <c r="S455" s="110"/>
      <c r="T455" s="111"/>
      <c r="U455" s="111"/>
      <c r="W455" s="112"/>
      <c r="Y455" s="112"/>
      <c r="AA455" s="112"/>
      <c r="AC455" s="112"/>
      <c r="AE455" s="112"/>
      <c r="AG455" s="112"/>
      <c r="AI455" s="113"/>
      <c r="AJ455" s="114"/>
      <c r="AK455" s="113"/>
      <c r="AL455" s="114"/>
      <c r="AM455" s="113"/>
      <c r="AN455" s="114"/>
      <c r="AO455" s="115"/>
      <c r="AP455" s="114"/>
      <c r="AQ455" s="115"/>
      <c r="AR455" s="114"/>
      <c r="AS455" s="115"/>
      <c r="AT455" s="114"/>
      <c r="AU455" s="114"/>
    </row>
    <row r="456">
      <c r="B456" s="105"/>
      <c r="C456" s="106"/>
      <c r="D456" s="107"/>
      <c r="E456" s="108"/>
      <c r="F456" s="109"/>
      <c r="G456" s="109"/>
      <c r="I456" s="110"/>
      <c r="K456" s="110"/>
      <c r="M456" s="110"/>
      <c r="O456" s="110"/>
      <c r="Q456" s="110"/>
      <c r="S456" s="110"/>
      <c r="T456" s="111"/>
      <c r="U456" s="111"/>
      <c r="W456" s="112"/>
      <c r="Y456" s="112"/>
      <c r="AA456" s="112"/>
      <c r="AC456" s="112"/>
      <c r="AE456" s="112"/>
      <c r="AG456" s="112"/>
      <c r="AI456" s="113"/>
      <c r="AJ456" s="114"/>
      <c r="AK456" s="113"/>
      <c r="AL456" s="114"/>
      <c r="AM456" s="113"/>
      <c r="AN456" s="114"/>
      <c r="AO456" s="115"/>
      <c r="AP456" s="114"/>
      <c r="AQ456" s="115"/>
      <c r="AR456" s="114"/>
      <c r="AS456" s="115"/>
      <c r="AT456" s="114"/>
      <c r="AU456" s="114"/>
    </row>
    <row r="457">
      <c r="B457" s="105"/>
      <c r="C457" s="106"/>
      <c r="D457" s="107"/>
      <c r="E457" s="108"/>
      <c r="F457" s="109"/>
      <c r="G457" s="109"/>
      <c r="I457" s="110"/>
      <c r="K457" s="110"/>
      <c r="M457" s="110"/>
      <c r="O457" s="110"/>
      <c r="Q457" s="110"/>
      <c r="S457" s="110"/>
      <c r="T457" s="111"/>
      <c r="U457" s="111"/>
      <c r="W457" s="112"/>
      <c r="Y457" s="112"/>
      <c r="AA457" s="112"/>
      <c r="AC457" s="112"/>
      <c r="AE457" s="112"/>
      <c r="AG457" s="112"/>
      <c r="AI457" s="113"/>
      <c r="AJ457" s="114"/>
      <c r="AK457" s="113"/>
      <c r="AL457" s="114"/>
      <c r="AM457" s="113"/>
      <c r="AN457" s="114"/>
      <c r="AO457" s="115"/>
      <c r="AP457" s="114"/>
      <c r="AQ457" s="115"/>
      <c r="AR457" s="114"/>
      <c r="AS457" s="115"/>
      <c r="AT457" s="114"/>
      <c r="AU457" s="114"/>
    </row>
    <row r="458">
      <c r="B458" s="105"/>
      <c r="C458" s="106"/>
      <c r="D458" s="107"/>
      <c r="E458" s="108"/>
      <c r="F458" s="109"/>
      <c r="G458" s="109"/>
      <c r="I458" s="110"/>
      <c r="K458" s="110"/>
      <c r="M458" s="110"/>
      <c r="O458" s="110"/>
      <c r="Q458" s="110"/>
      <c r="S458" s="110"/>
      <c r="T458" s="111"/>
      <c r="U458" s="111"/>
      <c r="W458" s="112"/>
      <c r="Y458" s="112"/>
      <c r="AA458" s="112"/>
      <c r="AC458" s="112"/>
      <c r="AE458" s="112"/>
      <c r="AG458" s="112"/>
      <c r="AI458" s="113"/>
      <c r="AJ458" s="114"/>
      <c r="AK458" s="113"/>
      <c r="AL458" s="114"/>
      <c r="AM458" s="113"/>
      <c r="AN458" s="114"/>
      <c r="AO458" s="115"/>
      <c r="AP458" s="114"/>
      <c r="AQ458" s="115"/>
      <c r="AR458" s="114"/>
      <c r="AS458" s="115"/>
      <c r="AT458" s="114"/>
      <c r="AU458" s="114"/>
    </row>
    <row r="459">
      <c r="B459" s="105"/>
      <c r="C459" s="106"/>
      <c r="D459" s="107"/>
      <c r="E459" s="108"/>
      <c r="F459" s="109"/>
      <c r="G459" s="109"/>
      <c r="I459" s="110"/>
      <c r="K459" s="110"/>
      <c r="M459" s="110"/>
      <c r="O459" s="110"/>
      <c r="Q459" s="110"/>
      <c r="S459" s="110"/>
      <c r="T459" s="111"/>
      <c r="U459" s="111"/>
      <c r="W459" s="112"/>
      <c r="Y459" s="112"/>
      <c r="AA459" s="112"/>
      <c r="AC459" s="112"/>
      <c r="AE459" s="112"/>
      <c r="AG459" s="112"/>
      <c r="AI459" s="113"/>
      <c r="AJ459" s="114"/>
      <c r="AK459" s="113"/>
      <c r="AL459" s="114"/>
      <c r="AM459" s="113"/>
      <c r="AN459" s="114"/>
      <c r="AO459" s="115"/>
      <c r="AP459" s="114"/>
      <c r="AQ459" s="115"/>
      <c r="AR459" s="114"/>
      <c r="AS459" s="115"/>
      <c r="AT459" s="114"/>
      <c r="AU459" s="114"/>
    </row>
    <row r="460">
      <c r="B460" s="105"/>
      <c r="C460" s="106"/>
      <c r="D460" s="107"/>
      <c r="E460" s="108"/>
      <c r="F460" s="109"/>
      <c r="G460" s="109"/>
      <c r="I460" s="110"/>
      <c r="K460" s="110"/>
      <c r="M460" s="110"/>
      <c r="O460" s="110"/>
      <c r="Q460" s="110"/>
      <c r="S460" s="110"/>
      <c r="T460" s="111"/>
      <c r="U460" s="111"/>
      <c r="W460" s="112"/>
      <c r="Y460" s="112"/>
      <c r="AA460" s="112"/>
      <c r="AC460" s="112"/>
      <c r="AE460" s="112"/>
      <c r="AG460" s="112"/>
      <c r="AI460" s="113"/>
      <c r="AJ460" s="114"/>
      <c r="AK460" s="113"/>
      <c r="AL460" s="114"/>
      <c r="AM460" s="113"/>
      <c r="AN460" s="114"/>
      <c r="AO460" s="115"/>
      <c r="AP460" s="114"/>
      <c r="AQ460" s="115"/>
      <c r="AR460" s="114"/>
      <c r="AS460" s="115"/>
      <c r="AT460" s="114"/>
      <c r="AU460" s="114"/>
    </row>
    <row r="461">
      <c r="B461" s="105"/>
      <c r="C461" s="106"/>
      <c r="D461" s="107"/>
      <c r="E461" s="108"/>
      <c r="F461" s="109"/>
      <c r="G461" s="109"/>
      <c r="I461" s="110"/>
      <c r="K461" s="110"/>
      <c r="M461" s="110"/>
      <c r="O461" s="110"/>
      <c r="Q461" s="110"/>
      <c r="S461" s="110"/>
      <c r="T461" s="111"/>
      <c r="U461" s="111"/>
      <c r="W461" s="112"/>
      <c r="Y461" s="112"/>
      <c r="AA461" s="112"/>
      <c r="AC461" s="112"/>
      <c r="AE461" s="112"/>
      <c r="AG461" s="112"/>
      <c r="AI461" s="113"/>
      <c r="AJ461" s="114"/>
      <c r="AK461" s="113"/>
      <c r="AL461" s="114"/>
      <c r="AM461" s="113"/>
      <c r="AN461" s="114"/>
      <c r="AO461" s="115"/>
      <c r="AP461" s="114"/>
      <c r="AQ461" s="115"/>
      <c r="AR461" s="114"/>
      <c r="AS461" s="115"/>
      <c r="AT461" s="114"/>
      <c r="AU461" s="114"/>
    </row>
    <row r="462">
      <c r="B462" s="105"/>
      <c r="C462" s="106"/>
      <c r="D462" s="107"/>
      <c r="E462" s="108"/>
      <c r="F462" s="109"/>
      <c r="G462" s="109"/>
      <c r="I462" s="110"/>
      <c r="K462" s="110"/>
      <c r="M462" s="110"/>
      <c r="O462" s="110"/>
      <c r="Q462" s="110"/>
      <c r="S462" s="110"/>
      <c r="T462" s="111"/>
      <c r="U462" s="111"/>
      <c r="W462" s="112"/>
      <c r="Y462" s="112"/>
      <c r="AA462" s="112"/>
      <c r="AC462" s="112"/>
      <c r="AE462" s="112"/>
      <c r="AG462" s="112"/>
      <c r="AI462" s="113"/>
      <c r="AJ462" s="114"/>
      <c r="AK462" s="113"/>
      <c r="AL462" s="114"/>
      <c r="AM462" s="113"/>
      <c r="AN462" s="114"/>
      <c r="AO462" s="115"/>
      <c r="AP462" s="114"/>
      <c r="AQ462" s="115"/>
      <c r="AR462" s="114"/>
      <c r="AS462" s="115"/>
      <c r="AT462" s="114"/>
      <c r="AU462" s="114"/>
    </row>
    <row r="463">
      <c r="B463" s="105"/>
      <c r="C463" s="106"/>
      <c r="D463" s="107"/>
      <c r="E463" s="108"/>
      <c r="F463" s="109"/>
      <c r="G463" s="109"/>
      <c r="I463" s="110"/>
      <c r="K463" s="110"/>
      <c r="M463" s="110"/>
      <c r="O463" s="110"/>
      <c r="Q463" s="110"/>
      <c r="S463" s="110"/>
      <c r="T463" s="111"/>
      <c r="U463" s="111"/>
      <c r="W463" s="112"/>
      <c r="Y463" s="112"/>
      <c r="AA463" s="112"/>
      <c r="AC463" s="112"/>
      <c r="AE463" s="112"/>
      <c r="AG463" s="112"/>
      <c r="AI463" s="113"/>
      <c r="AJ463" s="114"/>
      <c r="AK463" s="113"/>
      <c r="AL463" s="114"/>
      <c r="AM463" s="113"/>
      <c r="AN463" s="114"/>
      <c r="AO463" s="115"/>
      <c r="AP463" s="114"/>
      <c r="AQ463" s="115"/>
      <c r="AR463" s="114"/>
      <c r="AS463" s="115"/>
      <c r="AT463" s="114"/>
      <c r="AU463" s="114"/>
    </row>
    <row r="464">
      <c r="B464" s="105"/>
      <c r="C464" s="106"/>
      <c r="D464" s="107"/>
      <c r="E464" s="108"/>
      <c r="F464" s="109"/>
      <c r="G464" s="109"/>
      <c r="I464" s="110"/>
      <c r="K464" s="110"/>
      <c r="M464" s="110"/>
      <c r="O464" s="110"/>
      <c r="Q464" s="110"/>
      <c r="S464" s="110"/>
      <c r="T464" s="111"/>
      <c r="U464" s="111"/>
      <c r="W464" s="112"/>
      <c r="Y464" s="112"/>
      <c r="AA464" s="112"/>
      <c r="AC464" s="112"/>
      <c r="AE464" s="112"/>
      <c r="AG464" s="112"/>
      <c r="AI464" s="113"/>
      <c r="AJ464" s="114"/>
      <c r="AK464" s="113"/>
      <c r="AL464" s="114"/>
      <c r="AM464" s="113"/>
      <c r="AN464" s="114"/>
      <c r="AO464" s="115"/>
      <c r="AP464" s="114"/>
      <c r="AQ464" s="115"/>
      <c r="AR464" s="114"/>
      <c r="AS464" s="115"/>
      <c r="AT464" s="114"/>
      <c r="AU464" s="114"/>
    </row>
    <row r="465">
      <c r="B465" s="105"/>
      <c r="C465" s="106"/>
      <c r="D465" s="107"/>
      <c r="E465" s="108"/>
      <c r="F465" s="109"/>
      <c r="G465" s="109"/>
      <c r="I465" s="110"/>
      <c r="K465" s="110"/>
      <c r="M465" s="110"/>
      <c r="O465" s="110"/>
      <c r="Q465" s="110"/>
      <c r="S465" s="110"/>
      <c r="T465" s="111"/>
      <c r="U465" s="111"/>
      <c r="W465" s="112"/>
      <c r="Y465" s="112"/>
      <c r="AA465" s="112"/>
      <c r="AC465" s="112"/>
      <c r="AE465" s="112"/>
      <c r="AG465" s="112"/>
      <c r="AI465" s="113"/>
      <c r="AJ465" s="114"/>
      <c r="AK465" s="113"/>
      <c r="AL465" s="114"/>
      <c r="AM465" s="113"/>
      <c r="AN465" s="114"/>
      <c r="AO465" s="115"/>
      <c r="AP465" s="114"/>
      <c r="AQ465" s="115"/>
      <c r="AR465" s="114"/>
      <c r="AS465" s="115"/>
      <c r="AT465" s="114"/>
      <c r="AU465" s="114"/>
    </row>
    <row r="466">
      <c r="B466" s="105"/>
      <c r="C466" s="106"/>
      <c r="D466" s="107"/>
      <c r="E466" s="108"/>
      <c r="F466" s="109"/>
      <c r="G466" s="109"/>
      <c r="I466" s="110"/>
      <c r="K466" s="110"/>
      <c r="M466" s="110"/>
      <c r="O466" s="110"/>
      <c r="Q466" s="110"/>
      <c r="S466" s="110"/>
      <c r="T466" s="111"/>
      <c r="U466" s="111"/>
      <c r="W466" s="112"/>
      <c r="Y466" s="112"/>
      <c r="AA466" s="112"/>
      <c r="AC466" s="112"/>
      <c r="AE466" s="112"/>
      <c r="AG466" s="112"/>
      <c r="AI466" s="113"/>
      <c r="AJ466" s="114"/>
      <c r="AK466" s="113"/>
      <c r="AL466" s="114"/>
      <c r="AM466" s="113"/>
      <c r="AN466" s="114"/>
      <c r="AO466" s="115"/>
      <c r="AP466" s="114"/>
      <c r="AQ466" s="115"/>
      <c r="AR466" s="114"/>
      <c r="AS466" s="115"/>
      <c r="AT466" s="114"/>
      <c r="AU466" s="114"/>
    </row>
    <row r="467">
      <c r="B467" s="105"/>
      <c r="C467" s="106"/>
      <c r="D467" s="107"/>
      <c r="E467" s="108"/>
      <c r="F467" s="109"/>
      <c r="G467" s="109"/>
      <c r="I467" s="110"/>
      <c r="K467" s="110"/>
      <c r="M467" s="110"/>
      <c r="O467" s="110"/>
      <c r="Q467" s="110"/>
      <c r="S467" s="110"/>
      <c r="T467" s="111"/>
      <c r="U467" s="111"/>
      <c r="W467" s="112"/>
      <c r="Y467" s="112"/>
      <c r="AA467" s="112"/>
      <c r="AC467" s="112"/>
      <c r="AE467" s="112"/>
      <c r="AG467" s="112"/>
      <c r="AI467" s="113"/>
      <c r="AJ467" s="114"/>
      <c r="AK467" s="113"/>
      <c r="AL467" s="114"/>
      <c r="AM467" s="113"/>
      <c r="AN467" s="114"/>
      <c r="AO467" s="115"/>
      <c r="AP467" s="114"/>
      <c r="AQ467" s="115"/>
      <c r="AR467" s="114"/>
      <c r="AS467" s="115"/>
      <c r="AT467" s="114"/>
      <c r="AU467" s="114"/>
    </row>
    <row r="468">
      <c r="B468" s="105"/>
      <c r="C468" s="106"/>
      <c r="D468" s="107"/>
      <c r="E468" s="108"/>
      <c r="F468" s="109"/>
      <c r="G468" s="109"/>
      <c r="I468" s="110"/>
      <c r="K468" s="110"/>
      <c r="M468" s="110"/>
      <c r="O468" s="110"/>
      <c r="Q468" s="110"/>
      <c r="S468" s="110"/>
      <c r="T468" s="111"/>
      <c r="U468" s="111"/>
      <c r="W468" s="112"/>
      <c r="Y468" s="112"/>
      <c r="AA468" s="112"/>
      <c r="AC468" s="112"/>
      <c r="AE468" s="112"/>
      <c r="AG468" s="112"/>
      <c r="AI468" s="113"/>
      <c r="AJ468" s="114"/>
      <c r="AK468" s="113"/>
      <c r="AL468" s="114"/>
      <c r="AM468" s="113"/>
      <c r="AN468" s="114"/>
      <c r="AO468" s="115"/>
      <c r="AP468" s="114"/>
      <c r="AQ468" s="115"/>
      <c r="AR468" s="114"/>
      <c r="AS468" s="115"/>
      <c r="AT468" s="114"/>
      <c r="AU468" s="114"/>
    </row>
    <row r="469">
      <c r="B469" s="105"/>
      <c r="C469" s="106"/>
      <c r="D469" s="107"/>
      <c r="E469" s="108"/>
      <c r="F469" s="109"/>
      <c r="G469" s="109"/>
      <c r="I469" s="110"/>
      <c r="K469" s="110"/>
      <c r="M469" s="110"/>
      <c r="O469" s="110"/>
      <c r="Q469" s="110"/>
      <c r="S469" s="110"/>
      <c r="T469" s="111"/>
      <c r="U469" s="111"/>
      <c r="W469" s="112"/>
      <c r="Y469" s="112"/>
      <c r="AA469" s="112"/>
      <c r="AC469" s="112"/>
      <c r="AE469" s="112"/>
      <c r="AG469" s="112"/>
      <c r="AI469" s="113"/>
      <c r="AJ469" s="114"/>
      <c r="AK469" s="113"/>
      <c r="AL469" s="114"/>
      <c r="AM469" s="113"/>
      <c r="AN469" s="114"/>
      <c r="AO469" s="115"/>
      <c r="AP469" s="114"/>
      <c r="AQ469" s="115"/>
      <c r="AR469" s="114"/>
      <c r="AS469" s="115"/>
      <c r="AT469" s="114"/>
      <c r="AU469" s="114"/>
    </row>
    <row r="470">
      <c r="B470" s="105"/>
      <c r="C470" s="106"/>
      <c r="D470" s="107"/>
      <c r="E470" s="108"/>
      <c r="F470" s="109"/>
      <c r="G470" s="109"/>
      <c r="I470" s="110"/>
      <c r="K470" s="110"/>
      <c r="M470" s="110"/>
      <c r="O470" s="110"/>
      <c r="Q470" s="110"/>
      <c r="S470" s="110"/>
      <c r="T470" s="111"/>
      <c r="U470" s="111"/>
      <c r="W470" s="112"/>
      <c r="Y470" s="112"/>
      <c r="AA470" s="112"/>
      <c r="AC470" s="112"/>
      <c r="AE470" s="112"/>
      <c r="AG470" s="112"/>
      <c r="AI470" s="113"/>
      <c r="AJ470" s="114"/>
      <c r="AK470" s="113"/>
      <c r="AL470" s="114"/>
      <c r="AM470" s="113"/>
      <c r="AN470" s="114"/>
      <c r="AO470" s="115"/>
      <c r="AP470" s="114"/>
      <c r="AQ470" s="115"/>
      <c r="AR470" s="114"/>
      <c r="AS470" s="115"/>
      <c r="AT470" s="114"/>
      <c r="AU470" s="114"/>
    </row>
    <row r="471">
      <c r="B471" s="105"/>
      <c r="C471" s="106"/>
      <c r="D471" s="107"/>
      <c r="E471" s="108"/>
      <c r="F471" s="109"/>
      <c r="G471" s="109"/>
      <c r="I471" s="110"/>
      <c r="K471" s="110"/>
      <c r="M471" s="110"/>
      <c r="O471" s="110"/>
      <c r="Q471" s="110"/>
      <c r="S471" s="110"/>
      <c r="T471" s="111"/>
      <c r="U471" s="111"/>
      <c r="W471" s="112"/>
      <c r="Y471" s="112"/>
      <c r="AA471" s="112"/>
      <c r="AC471" s="112"/>
      <c r="AE471" s="112"/>
      <c r="AG471" s="112"/>
      <c r="AI471" s="113"/>
      <c r="AJ471" s="114"/>
      <c r="AK471" s="113"/>
      <c r="AL471" s="114"/>
      <c r="AM471" s="113"/>
      <c r="AN471" s="114"/>
      <c r="AO471" s="115"/>
      <c r="AP471" s="114"/>
      <c r="AQ471" s="115"/>
      <c r="AR471" s="114"/>
      <c r="AS471" s="115"/>
      <c r="AT471" s="114"/>
      <c r="AU471" s="114"/>
    </row>
    <row r="472">
      <c r="B472" s="105"/>
      <c r="C472" s="106"/>
      <c r="D472" s="107"/>
      <c r="E472" s="108"/>
      <c r="F472" s="109"/>
      <c r="G472" s="109"/>
      <c r="I472" s="110"/>
      <c r="K472" s="110"/>
      <c r="M472" s="110"/>
      <c r="O472" s="110"/>
      <c r="Q472" s="110"/>
      <c r="S472" s="110"/>
      <c r="T472" s="111"/>
      <c r="U472" s="111"/>
      <c r="W472" s="112"/>
      <c r="Y472" s="112"/>
      <c r="AA472" s="112"/>
      <c r="AC472" s="112"/>
      <c r="AE472" s="112"/>
      <c r="AG472" s="112"/>
      <c r="AI472" s="113"/>
      <c r="AJ472" s="114"/>
      <c r="AK472" s="113"/>
      <c r="AL472" s="114"/>
      <c r="AM472" s="113"/>
      <c r="AN472" s="114"/>
      <c r="AO472" s="115"/>
      <c r="AP472" s="114"/>
      <c r="AQ472" s="115"/>
      <c r="AR472" s="114"/>
      <c r="AS472" s="115"/>
      <c r="AT472" s="114"/>
      <c r="AU472" s="114"/>
    </row>
    <row r="473">
      <c r="B473" s="105"/>
      <c r="C473" s="106"/>
      <c r="D473" s="107"/>
      <c r="E473" s="108"/>
      <c r="F473" s="109"/>
      <c r="G473" s="109"/>
      <c r="I473" s="110"/>
      <c r="K473" s="110"/>
      <c r="M473" s="110"/>
      <c r="O473" s="110"/>
      <c r="Q473" s="110"/>
      <c r="S473" s="110"/>
      <c r="T473" s="111"/>
      <c r="U473" s="111"/>
      <c r="W473" s="112"/>
      <c r="Y473" s="112"/>
      <c r="AA473" s="112"/>
      <c r="AC473" s="112"/>
      <c r="AE473" s="112"/>
      <c r="AG473" s="112"/>
      <c r="AI473" s="113"/>
      <c r="AJ473" s="114"/>
      <c r="AK473" s="113"/>
      <c r="AL473" s="114"/>
      <c r="AM473" s="113"/>
      <c r="AN473" s="114"/>
      <c r="AO473" s="115"/>
      <c r="AP473" s="114"/>
      <c r="AQ473" s="115"/>
      <c r="AR473" s="114"/>
      <c r="AS473" s="115"/>
      <c r="AT473" s="114"/>
      <c r="AU473" s="114"/>
    </row>
    <row r="474">
      <c r="B474" s="105"/>
      <c r="C474" s="106"/>
      <c r="D474" s="107"/>
      <c r="E474" s="108"/>
      <c r="F474" s="109"/>
      <c r="G474" s="109"/>
      <c r="I474" s="110"/>
      <c r="K474" s="110"/>
      <c r="M474" s="110"/>
      <c r="O474" s="110"/>
      <c r="Q474" s="110"/>
      <c r="S474" s="110"/>
      <c r="T474" s="111"/>
      <c r="U474" s="111"/>
      <c r="W474" s="112"/>
      <c r="Y474" s="112"/>
      <c r="AA474" s="112"/>
      <c r="AC474" s="112"/>
      <c r="AE474" s="112"/>
      <c r="AG474" s="112"/>
      <c r="AI474" s="113"/>
      <c r="AJ474" s="114"/>
      <c r="AK474" s="113"/>
      <c r="AL474" s="114"/>
      <c r="AM474" s="113"/>
      <c r="AN474" s="114"/>
      <c r="AO474" s="115"/>
      <c r="AP474" s="114"/>
      <c r="AQ474" s="115"/>
      <c r="AR474" s="114"/>
      <c r="AS474" s="115"/>
      <c r="AT474" s="114"/>
      <c r="AU474" s="114"/>
    </row>
    <row r="475">
      <c r="B475" s="105"/>
      <c r="C475" s="106"/>
      <c r="D475" s="107"/>
      <c r="E475" s="108"/>
      <c r="F475" s="109"/>
      <c r="G475" s="109"/>
      <c r="I475" s="110"/>
      <c r="K475" s="110"/>
      <c r="M475" s="110"/>
      <c r="O475" s="110"/>
      <c r="Q475" s="110"/>
      <c r="S475" s="110"/>
      <c r="T475" s="111"/>
      <c r="U475" s="111"/>
      <c r="W475" s="112"/>
      <c r="Y475" s="112"/>
      <c r="AA475" s="112"/>
      <c r="AC475" s="112"/>
      <c r="AE475" s="112"/>
      <c r="AG475" s="112"/>
      <c r="AI475" s="113"/>
      <c r="AJ475" s="114"/>
      <c r="AK475" s="113"/>
      <c r="AL475" s="114"/>
      <c r="AM475" s="113"/>
      <c r="AN475" s="114"/>
      <c r="AO475" s="115"/>
      <c r="AP475" s="114"/>
      <c r="AQ475" s="115"/>
      <c r="AR475" s="114"/>
      <c r="AS475" s="115"/>
      <c r="AT475" s="114"/>
      <c r="AU475" s="114"/>
    </row>
    <row r="476">
      <c r="B476" s="105"/>
      <c r="C476" s="106"/>
      <c r="D476" s="107"/>
      <c r="E476" s="108"/>
      <c r="F476" s="109"/>
      <c r="G476" s="109"/>
      <c r="I476" s="110"/>
      <c r="K476" s="110"/>
      <c r="M476" s="110"/>
      <c r="O476" s="110"/>
      <c r="Q476" s="110"/>
      <c r="S476" s="110"/>
      <c r="T476" s="111"/>
      <c r="U476" s="111"/>
      <c r="W476" s="112"/>
      <c r="Y476" s="112"/>
      <c r="AA476" s="112"/>
      <c r="AC476" s="112"/>
      <c r="AE476" s="112"/>
      <c r="AG476" s="112"/>
      <c r="AI476" s="113"/>
      <c r="AJ476" s="114"/>
      <c r="AK476" s="113"/>
      <c r="AL476" s="114"/>
      <c r="AM476" s="113"/>
      <c r="AN476" s="114"/>
      <c r="AO476" s="115"/>
      <c r="AP476" s="114"/>
      <c r="AQ476" s="115"/>
      <c r="AR476" s="114"/>
      <c r="AS476" s="115"/>
      <c r="AT476" s="114"/>
      <c r="AU476" s="114"/>
    </row>
    <row r="477">
      <c r="B477" s="105"/>
      <c r="C477" s="106"/>
      <c r="D477" s="107"/>
      <c r="E477" s="108"/>
      <c r="F477" s="109"/>
      <c r="G477" s="109"/>
      <c r="I477" s="110"/>
      <c r="K477" s="110"/>
      <c r="M477" s="110"/>
      <c r="O477" s="110"/>
      <c r="Q477" s="110"/>
      <c r="S477" s="110"/>
      <c r="T477" s="111"/>
      <c r="U477" s="111"/>
      <c r="W477" s="112"/>
      <c r="Y477" s="112"/>
      <c r="AA477" s="112"/>
      <c r="AC477" s="112"/>
      <c r="AE477" s="112"/>
      <c r="AG477" s="112"/>
      <c r="AI477" s="113"/>
      <c r="AJ477" s="114"/>
      <c r="AK477" s="113"/>
      <c r="AL477" s="114"/>
      <c r="AM477" s="113"/>
      <c r="AN477" s="114"/>
      <c r="AO477" s="115"/>
      <c r="AP477" s="114"/>
      <c r="AQ477" s="115"/>
      <c r="AR477" s="114"/>
      <c r="AS477" s="115"/>
      <c r="AT477" s="114"/>
      <c r="AU477" s="114"/>
    </row>
    <row r="478">
      <c r="B478" s="105"/>
      <c r="C478" s="106"/>
      <c r="D478" s="107"/>
      <c r="E478" s="108"/>
      <c r="F478" s="109"/>
      <c r="G478" s="109"/>
      <c r="I478" s="110"/>
      <c r="K478" s="110"/>
      <c r="M478" s="110"/>
      <c r="O478" s="110"/>
      <c r="Q478" s="110"/>
      <c r="S478" s="110"/>
      <c r="T478" s="111"/>
      <c r="U478" s="111"/>
      <c r="W478" s="112"/>
      <c r="Y478" s="112"/>
      <c r="AA478" s="112"/>
      <c r="AC478" s="112"/>
      <c r="AE478" s="112"/>
      <c r="AG478" s="112"/>
      <c r="AI478" s="113"/>
      <c r="AJ478" s="114"/>
      <c r="AK478" s="113"/>
      <c r="AL478" s="114"/>
      <c r="AM478" s="113"/>
      <c r="AN478" s="114"/>
      <c r="AO478" s="115"/>
      <c r="AP478" s="114"/>
      <c r="AQ478" s="115"/>
      <c r="AR478" s="114"/>
      <c r="AS478" s="115"/>
      <c r="AT478" s="114"/>
      <c r="AU478" s="114"/>
    </row>
    <row r="479">
      <c r="B479" s="105"/>
      <c r="C479" s="106"/>
      <c r="D479" s="107"/>
      <c r="E479" s="108"/>
      <c r="F479" s="109"/>
      <c r="G479" s="109"/>
      <c r="I479" s="110"/>
      <c r="K479" s="110"/>
      <c r="M479" s="110"/>
      <c r="O479" s="110"/>
      <c r="Q479" s="110"/>
      <c r="S479" s="110"/>
      <c r="T479" s="111"/>
      <c r="U479" s="111"/>
      <c r="W479" s="112"/>
      <c r="Y479" s="112"/>
      <c r="AA479" s="112"/>
      <c r="AC479" s="112"/>
      <c r="AE479" s="112"/>
      <c r="AG479" s="112"/>
      <c r="AI479" s="113"/>
      <c r="AJ479" s="114"/>
      <c r="AK479" s="113"/>
      <c r="AL479" s="114"/>
      <c r="AM479" s="113"/>
      <c r="AN479" s="114"/>
      <c r="AO479" s="115"/>
      <c r="AP479" s="114"/>
      <c r="AQ479" s="115"/>
      <c r="AR479" s="114"/>
      <c r="AS479" s="115"/>
      <c r="AT479" s="114"/>
      <c r="AU479" s="114"/>
    </row>
    <row r="480">
      <c r="B480" s="105"/>
      <c r="C480" s="106"/>
      <c r="D480" s="107"/>
      <c r="E480" s="108"/>
      <c r="F480" s="109"/>
      <c r="G480" s="109"/>
      <c r="I480" s="110"/>
      <c r="K480" s="110"/>
      <c r="M480" s="110"/>
      <c r="O480" s="110"/>
      <c r="Q480" s="110"/>
      <c r="S480" s="110"/>
      <c r="T480" s="111"/>
      <c r="U480" s="111"/>
      <c r="W480" s="112"/>
      <c r="Y480" s="112"/>
      <c r="AA480" s="112"/>
      <c r="AC480" s="112"/>
      <c r="AE480" s="112"/>
      <c r="AG480" s="112"/>
      <c r="AI480" s="113"/>
      <c r="AJ480" s="114"/>
      <c r="AK480" s="113"/>
      <c r="AL480" s="114"/>
      <c r="AM480" s="113"/>
      <c r="AN480" s="114"/>
      <c r="AO480" s="115"/>
      <c r="AP480" s="114"/>
      <c r="AQ480" s="115"/>
      <c r="AR480" s="114"/>
      <c r="AS480" s="115"/>
      <c r="AT480" s="114"/>
      <c r="AU480" s="114"/>
    </row>
    <row r="481">
      <c r="B481" s="105"/>
      <c r="C481" s="106"/>
      <c r="D481" s="107"/>
      <c r="E481" s="108"/>
      <c r="F481" s="109"/>
      <c r="G481" s="109"/>
      <c r="I481" s="110"/>
      <c r="K481" s="110"/>
      <c r="M481" s="110"/>
      <c r="O481" s="110"/>
      <c r="Q481" s="110"/>
      <c r="S481" s="110"/>
      <c r="T481" s="111"/>
      <c r="U481" s="111"/>
      <c r="W481" s="112"/>
      <c r="Y481" s="112"/>
      <c r="AA481" s="112"/>
      <c r="AC481" s="112"/>
      <c r="AE481" s="112"/>
      <c r="AG481" s="112"/>
      <c r="AI481" s="113"/>
      <c r="AJ481" s="114"/>
      <c r="AK481" s="113"/>
      <c r="AL481" s="114"/>
      <c r="AM481" s="113"/>
      <c r="AN481" s="114"/>
      <c r="AO481" s="115"/>
      <c r="AP481" s="114"/>
      <c r="AQ481" s="115"/>
      <c r="AR481" s="114"/>
      <c r="AS481" s="115"/>
      <c r="AT481" s="114"/>
      <c r="AU481" s="114"/>
    </row>
    <row r="482">
      <c r="B482" s="105"/>
      <c r="C482" s="106"/>
      <c r="D482" s="107"/>
      <c r="E482" s="108"/>
      <c r="F482" s="109"/>
      <c r="G482" s="109"/>
      <c r="I482" s="110"/>
      <c r="K482" s="110"/>
      <c r="M482" s="110"/>
      <c r="O482" s="110"/>
      <c r="Q482" s="110"/>
      <c r="S482" s="110"/>
      <c r="T482" s="111"/>
      <c r="U482" s="111"/>
      <c r="W482" s="112"/>
      <c r="Y482" s="112"/>
      <c r="AA482" s="112"/>
      <c r="AC482" s="112"/>
      <c r="AE482" s="112"/>
      <c r="AG482" s="112"/>
      <c r="AI482" s="113"/>
      <c r="AJ482" s="114"/>
      <c r="AK482" s="113"/>
      <c r="AL482" s="114"/>
      <c r="AM482" s="113"/>
      <c r="AN482" s="114"/>
      <c r="AO482" s="115"/>
      <c r="AP482" s="114"/>
      <c r="AQ482" s="115"/>
      <c r="AR482" s="114"/>
      <c r="AS482" s="115"/>
      <c r="AT482" s="114"/>
      <c r="AU482" s="114"/>
    </row>
    <row r="483">
      <c r="B483" s="105"/>
      <c r="C483" s="106"/>
      <c r="D483" s="107"/>
      <c r="E483" s="108"/>
      <c r="F483" s="109"/>
      <c r="G483" s="109"/>
      <c r="I483" s="110"/>
      <c r="K483" s="110"/>
      <c r="M483" s="110"/>
      <c r="O483" s="110"/>
      <c r="Q483" s="110"/>
      <c r="S483" s="110"/>
      <c r="T483" s="111"/>
      <c r="U483" s="111"/>
      <c r="W483" s="112"/>
      <c r="Y483" s="112"/>
      <c r="AA483" s="112"/>
      <c r="AC483" s="112"/>
      <c r="AE483" s="112"/>
      <c r="AG483" s="112"/>
      <c r="AI483" s="113"/>
      <c r="AJ483" s="114"/>
      <c r="AK483" s="113"/>
      <c r="AL483" s="114"/>
      <c r="AM483" s="113"/>
      <c r="AN483" s="114"/>
      <c r="AO483" s="115"/>
      <c r="AP483" s="114"/>
      <c r="AQ483" s="115"/>
      <c r="AR483" s="114"/>
      <c r="AS483" s="115"/>
      <c r="AT483" s="114"/>
      <c r="AU483" s="114"/>
    </row>
    <row r="484">
      <c r="B484" s="105"/>
      <c r="C484" s="106"/>
      <c r="D484" s="107"/>
      <c r="E484" s="108"/>
      <c r="F484" s="109"/>
      <c r="G484" s="109"/>
      <c r="I484" s="110"/>
      <c r="K484" s="110"/>
      <c r="M484" s="110"/>
      <c r="O484" s="110"/>
      <c r="Q484" s="110"/>
      <c r="S484" s="110"/>
      <c r="T484" s="111"/>
      <c r="U484" s="111"/>
      <c r="W484" s="112"/>
      <c r="Y484" s="112"/>
      <c r="AA484" s="112"/>
      <c r="AC484" s="112"/>
      <c r="AE484" s="112"/>
      <c r="AG484" s="112"/>
      <c r="AI484" s="113"/>
      <c r="AJ484" s="114"/>
      <c r="AK484" s="113"/>
      <c r="AL484" s="114"/>
      <c r="AM484" s="113"/>
      <c r="AN484" s="114"/>
      <c r="AO484" s="115"/>
      <c r="AP484" s="114"/>
      <c r="AQ484" s="115"/>
      <c r="AR484" s="114"/>
      <c r="AS484" s="115"/>
      <c r="AT484" s="114"/>
      <c r="AU484" s="114"/>
    </row>
    <row r="485">
      <c r="B485" s="105"/>
      <c r="C485" s="106"/>
      <c r="D485" s="107"/>
      <c r="E485" s="108"/>
      <c r="F485" s="109"/>
      <c r="G485" s="109"/>
      <c r="I485" s="110"/>
      <c r="K485" s="110"/>
      <c r="M485" s="110"/>
      <c r="O485" s="110"/>
      <c r="Q485" s="110"/>
      <c r="S485" s="110"/>
      <c r="T485" s="111"/>
      <c r="U485" s="111"/>
      <c r="W485" s="112"/>
      <c r="Y485" s="112"/>
      <c r="AA485" s="112"/>
      <c r="AC485" s="112"/>
      <c r="AE485" s="112"/>
      <c r="AG485" s="112"/>
      <c r="AI485" s="113"/>
      <c r="AJ485" s="114"/>
      <c r="AK485" s="113"/>
      <c r="AL485" s="114"/>
      <c r="AM485" s="113"/>
      <c r="AN485" s="114"/>
      <c r="AO485" s="115"/>
      <c r="AP485" s="114"/>
      <c r="AQ485" s="115"/>
      <c r="AR485" s="114"/>
      <c r="AS485" s="115"/>
      <c r="AT485" s="114"/>
      <c r="AU485" s="114"/>
    </row>
    <row r="486">
      <c r="B486" s="105"/>
      <c r="C486" s="106"/>
      <c r="D486" s="107"/>
      <c r="E486" s="108"/>
      <c r="F486" s="109"/>
      <c r="G486" s="109"/>
      <c r="I486" s="110"/>
      <c r="K486" s="110"/>
      <c r="M486" s="110"/>
      <c r="O486" s="110"/>
      <c r="Q486" s="110"/>
      <c r="S486" s="110"/>
      <c r="T486" s="111"/>
      <c r="U486" s="111"/>
      <c r="W486" s="112"/>
      <c r="Y486" s="112"/>
      <c r="AA486" s="112"/>
      <c r="AC486" s="112"/>
      <c r="AE486" s="112"/>
      <c r="AG486" s="112"/>
      <c r="AI486" s="113"/>
      <c r="AJ486" s="114"/>
      <c r="AK486" s="113"/>
      <c r="AL486" s="114"/>
      <c r="AM486" s="113"/>
      <c r="AN486" s="114"/>
      <c r="AO486" s="115"/>
      <c r="AP486" s="114"/>
      <c r="AQ486" s="115"/>
      <c r="AR486" s="114"/>
      <c r="AS486" s="115"/>
      <c r="AT486" s="114"/>
      <c r="AU486" s="114"/>
    </row>
    <row r="487">
      <c r="B487" s="105"/>
      <c r="C487" s="106"/>
      <c r="D487" s="107"/>
      <c r="E487" s="108"/>
      <c r="F487" s="109"/>
      <c r="G487" s="109"/>
      <c r="I487" s="110"/>
      <c r="K487" s="110"/>
      <c r="M487" s="110"/>
      <c r="O487" s="110"/>
      <c r="Q487" s="110"/>
      <c r="S487" s="110"/>
      <c r="T487" s="111"/>
      <c r="U487" s="111"/>
      <c r="W487" s="112"/>
      <c r="Y487" s="112"/>
      <c r="AA487" s="112"/>
      <c r="AC487" s="112"/>
      <c r="AE487" s="112"/>
      <c r="AG487" s="112"/>
      <c r="AI487" s="113"/>
      <c r="AJ487" s="114"/>
      <c r="AK487" s="113"/>
      <c r="AL487" s="114"/>
      <c r="AM487" s="113"/>
      <c r="AN487" s="114"/>
      <c r="AO487" s="115"/>
      <c r="AP487" s="114"/>
      <c r="AQ487" s="115"/>
      <c r="AR487" s="114"/>
      <c r="AS487" s="115"/>
      <c r="AT487" s="114"/>
      <c r="AU487" s="114"/>
    </row>
    <row r="488">
      <c r="B488" s="105"/>
      <c r="C488" s="106"/>
      <c r="D488" s="107"/>
      <c r="E488" s="108"/>
      <c r="F488" s="109"/>
      <c r="G488" s="109"/>
      <c r="I488" s="110"/>
      <c r="K488" s="110"/>
      <c r="M488" s="110"/>
      <c r="O488" s="110"/>
      <c r="Q488" s="110"/>
      <c r="S488" s="110"/>
      <c r="T488" s="111"/>
      <c r="U488" s="111"/>
      <c r="W488" s="112"/>
      <c r="Y488" s="112"/>
      <c r="AA488" s="112"/>
      <c r="AC488" s="112"/>
      <c r="AE488" s="112"/>
      <c r="AG488" s="112"/>
      <c r="AI488" s="113"/>
      <c r="AJ488" s="114"/>
      <c r="AK488" s="113"/>
      <c r="AL488" s="114"/>
      <c r="AM488" s="113"/>
      <c r="AN488" s="114"/>
      <c r="AO488" s="115"/>
      <c r="AP488" s="114"/>
      <c r="AQ488" s="115"/>
      <c r="AR488" s="114"/>
      <c r="AS488" s="115"/>
      <c r="AT488" s="114"/>
      <c r="AU488" s="114"/>
    </row>
    <row r="489">
      <c r="B489" s="105"/>
      <c r="C489" s="106"/>
      <c r="D489" s="107"/>
      <c r="E489" s="108"/>
      <c r="F489" s="109"/>
      <c r="G489" s="109"/>
      <c r="I489" s="110"/>
      <c r="K489" s="110"/>
      <c r="M489" s="110"/>
      <c r="O489" s="110"/>
      <c r="Q489" s="110"/>
      <c r="S489" s="110"/>
      <c r="T489" s="111"/>
      <c r="U489" s="111"/>
      <c r="W489" s="112"/>
      <c r="Y489" s="112"/>
      <c r="AA489" s="112"/>
      <c r="AC489" s="112"/>
      <c r="AE489" s="112"/>
      <c r="AG489" s="112"/>
      <c r="AI489" s="113"/>
      <c r="AJ489" s="114"/>
      <c r="AK489" s="113"/>
      <c r="AL489" s="114"/>
      <c r="AM489" s="113"/>
      <c r="AN489" s="114"/>
      <c r="AO489" s="115"/>
      <c r="AP489" s="114"/>
      <c r="AQ489" s="115"/>
      <c r="AR489" s="114"/>
      <c r="AS489" s="115"/>
      <c r="AT489" s="114"/>
      <c r="AU489" s="114"/>
    </row>
    <row r="490">
      <c r="B490" s="105"/>
      <c r="C490" s="106"/>
      <c r="D490" s="107"/>
      <c r="E490" s="108"/>
      <c r="F490" s="109"/>
      <c r="G490" s="109"/>
      <c r="I490" s="110"/>
      <c r="K490" s="110"/>
      <c r="M490" s="110"/>
      <c r="O490" s="110"/>
      <c r="Q490" s="110"/>
      <c r="S490" s="110"/>
      <c r="T490" s="111"/>
      <c r="U490" s="111"/>
      <c r="W490" s="112"/>
      <c r="Y490" s="112"/>
      <c r="AA490" s="112"/>
      <c r="AC490" s="112"/>
      <c r="AE490" s="112"/>
      <c r="AG490" s="112"/>
      <c r="AI490" s="113"/>
      <c r="AJ490" s="114"/>
      <c r="AK490" s="113"/>
      <c r="AL490" s="114"/>
      <c r="AM490" s="113"/>
      <c r="AN490" s="114"/>
      <c r="AO490" s="115"/>
      <c r="AP490" s="114"/>
      <c r="AQ490" s="115"/>
      <c r="AR490" s="114"/>
      <c r="AS490" s="115"/>
      <c r="AT490" s="114"/>
      <c r="AU490" s="114"/>
    </row>
    <row r="491">
      <c r="B491" s="105"/>
      <c r="C491" s="106"/>
      <c r="D491" s="107"/>
      <c r="E491" s="108"/>
      <c r="F491" s="109"/>
      <c r="G491" s="109"/>
      <c r="I491" s="110"/>
      <c r="K491" s="110"/>
      <c r="M491" s="110"/>
      <c r="O491" s="110"/>
      <c r="Q491" s="110"/>
      <c r="S491" s="110"/>
      <c r="T491" s="111"/>
      <c r="U491" s="111"/>
      <c r="W491" s="112"/>
      <c r="Y491" s="112"/>
      <c r="AA491" s="112"/>
      <c r="AC491" s="112"/>
      <c r="AE491" s="112"/>
      <c r="AG491" s="112"/>
      <c r="AI491" s="113"/>
      <c r="AJ491" s="114"/>
      <c r="AK491" s="113"/>
      <c r="AL491" s="114"/>
      <c r="AM491" s="113"/>
      <c r="AN491" s="114"/>
      <c r="AO491" s="115"/>
      <c r="AP491" s="114"/>
      <c r="AQ491" s="115"/>
      <c r="AR491" s="114"/>
      <c r="AS491" s="115"/>
      <c r="AT491" s="114"/>
      <c r="AU491" s="114"/>
    </row>
    <row r="492">
      <c r="B492" s="105"/>
      <c r="C492" s="106"/>
      <c r="D492" s="107"/>
      <c r="E492" s="108"/>
      <c r="F492" s="109"/>
      <c r="G492" s="109"/>
      <c r="I492" s="110"/>
      <c r="K492" s="110"/>
      <c r="M492" s="110"/>
      <c r="O492" s="110"/>
      <c r="Q492" s="110"/>
      <c r="S492" s="110"/>
      <c r="T492" s="111"/>
      <c r="U492" s="111"/>
      <c r="W492" s="112"/>
      <c r="Y492" s="112"/>
      <c r="AA492" s="112"/>
      <c r="AC492" s="112"/>
      <c r="AE492" s="112"/>
      <c r="AG492" s="112"/>
      <c r="AI492" s="113"/>
      <c r="AJ492" s="114"/>
      <c r="AK492" s="113"/>
      <c r="AL492" s="114"/>
      <c r="AM492" s="113"/>
      <c r="AN492" s="114"/>
      <c r="AO492" s="115"/>
      <c r="AP492" s="114"/>
      <c r="AQ492" s="115"/>
      <c r="AR492" s="114"/>
      <c r="AS492" s="115"/>
      <c r="AT492" s="114"/>
      <c r="AU492" s="114"/>
    </row>
    <row r="493">
      <c r="B493" s="105"/>
      <c r="C493" s="106"/>
      <c r="D493" s="107"/>
      <c r="E493" s="108"/>
      <c r="F493" s="109"/>
      <c r="G493" s="109"/>
      <c r="I493" s="110"/>
      <c r="K493" s="110"/>
      <c r="M493" s="110"/>
      <c r="O493" s="110"/>
      <c r="Q493" s="110"/>
      <c r="S493" s="110"/>
      <c r="T493" s="111"/>
      <c r="U493" s="111"/>
      <c r="W493" s="112"/>
      <c r="Y493" s="112"/>
      <c r="AA493" s="112"/>
      <c r="AC493" s="112"/>
      <c r="AE493" s="112"/>
      <c r="AG493" s="112"/>
      <c r="AI493" s="113"/>
      <c r="AJ493" s="114"/>
      <c r="AK493" s="113"/>
      <c r="AL493" s="114"/>
      <c r="AM493" s="113"/>
      <c r="AN493" s="114"/>
      <c r="AO493" s="115"/>
      <c r="AP493" s="114"/>
      <c r="AQ493" s="115"/>
      <c r="AR493" s="114"/>
      <c r="AS493" s="115"/>
      <c r="AT493" s="114"/>
      <c r="AU493" s="114"/>
    </row>
    <row r="494">
      <c r="B494" s="105"/>
      <c r="C494" s="106"/>
      <c r="D494" s="107"/>
      <c r="E494" s="108"/>
      <c r="F494" s="109"/>
      <c r="G494" s="109"/>
      <c r="I494" s="110"/>
      <c r="K494" s="110"/>
      <c r="M494" s="110"/>
      <c r="O494" s="110"/>
      <c r="Q494" s="110"/>
      <c r="S494" s="110"/>
      <c r="T494" s="111"/>
      <c r="U494" s="111"/>
      <c r="W494" s="112"/>
      <c r="Y494" s="112"/>
      <c r="AA494" s="112"/>
      <c r="AC494" s="112"/>
      <c r="AE494" s="112"/>
      <c r="AG494" s="112"/>
      <c r="AI494" s="113"/>
      <c r="AJ494" s="114"/>
      <c r="AK494" s="113"/>
      <c r="AL494" s="114"/>
      <c r="AM494" s="113"/>
      <c r="AN494" s="114"/>
      <c r="AO494" s="115"/>
      <c r="AP494" s="114"/>
      <c r="AQ494" s="115"/>
      <c r="AR494" s="114"/>
      <c r="AS494" s="115"/>
      <c r="AT494" s="114"/>
      <c r="AU494" s="114"/>
    </row>
    <row r="495">
      <c r="B495" s="105"/>
      <c r="C495" s="106"/>
      <c r="D495" s="107"/>
      <c r="E495" s="108"/>
      <c r="F495" s="109"/>
      <c r="G495" s="109"/>
      <c r="I495" s="110"/>
      <c r="K495" s="110"/>
      <c r="M495" s="110"/>
      <c r="O495" s="110"/>
      <c r="Q495" s="110"/>
      <c r="S495" s="110"/>
      <c r="T495" s="111"/>
      <c r="U495" s="111"/>
      <c r="W495" s="112"/>
      <c r="Y495" s="112"/>
      <c r="AA495" s="112"/>
      <c r="AC495" s="112"/>
      <c r="AE495" s="112"/>
      <c r="AG495" s="112"/>
      <c r="AI495" s="113"/>
      <c r="AJ495" s="114"/>
      <c r="AK495" s="113"/>
      <c r="AL495" s="114"/>
      <c r="AM495" s="113"/>
      <c r="AN495" s="114"/>
      <c r="AO495" s="115"/>
      <c r="AP495" s="114"/>
      <c r="AQ495" s="115"/>
      <c r="AR495" s="114"/>
      <c r="AS495" s="115"/>
      <c r="AT495" s="114"/>
      <c r="AU495" s="114"/>
    </row>
    <row r="496">
      <c r="B496" s="105"/>
      <c r="C496" s="106"/>
      <c r="D496" s="107"/>
      <c r="E496" s="108"/>
      <c r="F496" s="109"/>
      <c r="G496" s="109"/>
      <c r="I496" s="110"/>
      <c r="K496" s="110"/>
      <c r="M496" s="110"/>
      <c r="O496" s="110"/>
      <c r="Q496" s="110"/>
      <c r="S496" s="110"/>
      <c r="T496" s="111"/>
      <c r="U496" s="111"/>
      <c r="W496" s="112"/>
      <c r="Y496" s="112"/>
      <c r="AA496" s="112"/>
      <c r="AC496" s="112"/>
      <c r="AE496" s="112"/>
      <c r="AG496" s="112"/>
      <c r="AI496" s="113"/>
      <c r="AJ496" s="114"/>
      <c r="AK496" s="113"/>
      <c r="AL496" s="114"/>
      <c r="AM496" s="113"/>
      <c r="AN496" s="114"/>
      <c r="AO496" s="115"/>
      <c r="AP496" s="114"/>
      <c r="AQ496" s="115"/>
      <c r="AR496" s="114"/>
      <c r="AS496" s="115"/>
      <c r="AT496" s="114"/>
      <c r="AU496" s="114"/>
    </row>
    <row r="497">
      <c r="B497" s="105"/>
      <c r="C497" s="106"/>
      <c r="D497" s="107"/>
      <c r="E497" s="108"/>
      <c r="F497" s="109"/>
      <c r="G497" s="109"/>
      <c r="I497" s="110"/>
      <c r="K497" s="110"/>
      <c r="M497" s="110"/>
      <c r="O497" s="110"/>
      <c r="Q497" s="110"/>
      <c r="S497" s="110"/>
      <c r="T497" s="111"/>
      <c r="U497" s="111"/>
      <c r="W497" s="112"/>
      <c r="Y497" s="112"/>
      <c r="AA497" s="112"/>
      <c r="AC497" s="112"/>
      <c r="AE497" s="112"/>
      <c r="AG497" s="112"/>
      <c r="AI497" s="113"/>
      <c r="AJ497" s="114"/>
      <c r="AK497" s="113"/>
      <c r="AL497" s="114"/>
      <c r="AM497" s="113"/>
      <c r="AN497" s="114"/>
      <c r="AO497" s="115"/>
      <c r="AP497" s="114"/>
      <c r="AQ497" s="115"/>
      <c r="AR497" s="114"/>
      <c r="AS497" s="115"/>
      <c r="AT497" s="114"/>
      <c r="AU497" s="114"/>
    </row>
    <row r="498">
      <c r="B498" s="105"/>
      <c r="C498" s="106"/>
      <c r="D498" s="107"/>
      <c r="E498" s="108"/>
      <c r="F498" s="109"/>
      <c r="G498" s="109"/>
      <c r="I498" s="110"/>
      <c r="K498" s="110"/>
      <c r="M498" s="110"/>
      <c r="O498" s="110"/>
      <c r="Q498" s="110"/>
      <c r="S498" s="110"/>
      <c r="T498" s="111"/>
      <c r="U498" s="111"/>
      <c r="W498" s="112"/>
      <c r="Y498" s="112"/>
      <c r="AA498" s="112"/>
      <c r="AC498" s="112"/>
      <c r="AE498" s="112"/>
      <c r="AG498" s="112"/>
      <c r="AI498" s="113"/>
      <c r="AJ498" s="114"/>
      <c r="AK498" s="113"/>
      <c r="AL498" s="114"/>
      <c r="AM498" s="113"/>
      <c r="AN498" s="114"/>
      <c r="AO498" s="115"/>
      <c r="AP498" s="114"/>
      <c r="AQ498" s="115"/>
      <c r="AR498" s="114"/>
      <c r="AS498" s="115"/>
      <c r="AT498" s="114"/>
      <c r="AU498" s="114"/>
    </row>
    <row r="499">
      <c r="B499" s="105"/>
      <c r="C499" s="106"/>
      <c r="D499" s="107"/>
      <c r="E499" s="108"/>
      <c r="F499" s="109"/>
      <c r="G499" s="109"/>
      <c r="I499" s="110"/>
      <c r="K499" s="110"/>
      <c r="M499" s="110"/>
      <c r="O499" s="110"/>
      <c r="Q499" s="110"/>
      <c r="S499" s="110"/>
      <c r="T499" s="111"/>
      <c r="U499" s="111"/>
      <c r="W499" s="112"/>
      <c r="Y499" s="112"/>
      <c r="AA499" s="112"/>
      <c r="AC499" s="112"/>
      <c r="AE499" s="112"/>
      <c r="AG499" s="112"/>
      <c r="AI499" s="113"/>
      <c r="AJ499" s="114"/>
      <c r="AK499" s="113"/>
      <c r="AL499" s="114"/>
      <c r="AM499" s="113"/>
      <c r="AN499" s="114"/>
      <c r="AO499" s="115"/>
      <c r="AP499" s="114"/>
      <c r="AQ499" s="115"/>
      <c r="AR499" s="114"/>
      <c r="AS499" s="115"/>
      <c r="AT499" s="114"/>
      <c r="AU499" s="114"/>
    </row>
    <row r="500">
      <c r="B500" s="105"/>
      <c r="C500" s="106"/>
      <c r="D500" s="107"/>
      <c r="E500" s="108"/>
      <c r="F500" s="109"/>
      <c r="G500" s="109"/>
      <c r="I500" s="110"/>
      <c r="K500" s="110"/>
      <c r="M500" s="110"/>
      <c r="O500" s="110"/>
      <c r="Q500" s="110"/>
      <c r="S500" s="110"/>
      <c r="T500" s="111"/>
      <c r="U500" s="111"/>
      <c r="W500" s="112"/>
      <c r="Y500" s="112"/>
      <c r="AA500" s="112"/>
      <c r="AC500" s="112"/>
      <c r="AE500" s="112"/>
      <c r="AG500" s="112"/>
      <c r="AI500" s="113"/>
      <c r="AJ500" s="114"/>
      <c r="AK500" s="113"/>
      <c r="AL500" s="114"/>
      <c r="AM500" s="113"/>
      <c r="AN500" s="114"/>
      <c r="AO500" s="115"/>
      <c r="AP500" s="114"/>
      <c r="AQ500" s="115"/>
      <c r="AR500" s="114"/>
      <c r="AS500" s="115"/>
      <c r="AT500" s="114"/>
      <c r="AU500" s="114"/>
    </row>
    <row r="501">
      <c r="B501" s="105"/>
      <c r="C501" s="106"/>
      <c r="D501" s="107"/>
      <c r="E501" s="108"/>
      <c r="F501" s="109"/>
      <c r="G501" s="109"/>
      <c r="I501" s="110"/>
      <c r="K501" s="110"/>
      <c r="M501" s="110"/>
      <c r="O501" s="110"/>
      <c r="Q501" s="110"/>
      <c r="S501" s="110"/>
      <c r="T501" s="111"/>
      <c r="U501" s="111"/>
      <c r="W501" s="112"/>
      <c r="Y501" s="112"/>
      <c r="AA501" s="112"/>
      <c r="AC501" s="112"/>
      <c r="AE501" s="112"/>
      <c r="AG501" s="112"/>
      <c r="AI501" s="113"/>
      <c r="AJ501" s="114"/>
      <c r="AK501" s="113"/>
      <c r="AL501" s="114"/>
      <c r="AM501" s="113"/>
      <c r="AN501" s="114"/>
      <c r="AO501" s="115"/>
      <c r="AP501" s="114"/>
      <c r="AQ501" s="115"/>
      <c r="AR501" s="114"/>
      <c r="AS501" s="115"/>
      <c r="AT501" s="114"/>
      <c r="AU501" s="114"/>
    </row>
    <row r="502">
      <c r="B502" s="105"/>
      <c r="C502" s="106"/>
      <c r="D502" s="107"/>
      <c r="E502" s="108"/>
      <c r="F502" s="109"/>
      <c r="G502" s="109"/>
      <c r="I502" s="110"/>
      <c r="K502" s="110"/>
      <c r="M502" s="110"/>
      <c r="O502" s="110"/>
      <c r="Q502" s="110"/>
      <c r="S502" s="110"/>
      <c r="T502" s="111"/>
      <c r="U502" s="111"/>
      <c r="W502" s="112"/>
      <c r="Y502" s="112"/>
      <c r="AA502" s="112"/>
      <c r="AC502" s="112"/>
      <c r="AE502" s="112"/>
      <c r="AG502" s="112"/>
      <c r="AI502" s="113"/>
      <c r="AJ502" s="114"/>
      <c r="AK502" s="113"/>
      <c r="AL502" s="114"/>
      <c r="AM502" s="113"/>
      <c r="AN502" s="114"/>
      <c r="AO502" s="115"/>
      <c r="AP502" s="114"/>
      <c r="AQ502" s="115"/>
      <c r="AR502" s="114"/>
      <c r="AS502" s="115"/>
      <c r="AT502" s="114"/>
      <c r="AU502" s="114"/>
    </row>
    <row r="503">
      <c r="B503" s="105"/>
      <c r="C503" s="106"/>
      <c r="D503" s="107"/>
      <c r="E503" s="108"/>
      <c r="F503" s="109"/>
      <c r="G503" s="109"/>
      <c r="I503" s="110"/>
      <c r="K503" s="110"/>
      <c r="M503" s="110"/>
      <c r="O503" s="110"/>
      <c r="Q503" s="110"/>
      <c r="S503" s="110"/>
      <c r="T503" s="111"/>
      <c r="U503" s="111"/>
      <c r="W503" s="112"/>
      <c r="Y503" s="112"/>
      <c r="AA503" s="112"/>
      <c r="AC503" s="112"/>
      <c r="AE503" s="112"/>
      <c r="AG503" s="112"/>
      <c r="AI503" s="113"/>
      <c r="AJ503" s="114"/>
      <c r="AK503" s="113"/>
      <c r="AL503" s="114"/>
      <c r="AM503" s="113"/>
      <c r="AN503" s="114"/>
      <c r="AO503" s="115"/>
      <c r="AP503" s="114"/>
      <c r="AQ503" s="115"/>
      <c r="AR503" s="114"/>
      <c r="AS503" s="115"/>
      <c r="AT503" s="114"/>
      <c r="AU503" s="114"/>
    </row>
    <row r="504">
      <c r="B504" s="105"/>
      <c r="C504" s="106"/>
      <c r="D504" s="107"/>
      <c r="E504" s="108"/>
      <c r="F504" s="109"/>
      <c r="G504" s="109"/>
      <c r="I504" s="110"/>
      <c r="K504" s="110"/>
      <c r="M504" s="110"/>
      <c r="O504" s="110"/>
      <c r="Q504" s="110"/>
      <c r="S504" s="110"/>
      <c r="T504" s="111"/>
      <c r="U504" s="111"/>
      <c r="W504" s="112"/>
      <c r="Y504" s="112"/>
      <c r="AA504" s="112"/>
      <c r="AC504" s="112"/>
      <c r="AE504" s="112"/>
      <c r="AG504" s="112"/>
      <c r="AI504" s="113"/>
      <c r="AJ504" s="114"/>
      <c r="AK504" s="113"/>
      <c r="AL504" s="114"/>
      <c r="AM504" s="113"/>
      <c r="AN504" s="114"/>
      <c r="AO504" s="115"/>
      <c r="AP504" s="114"/>
      <c r="AQ504" s="115"/>
      <c r="AR504" s="114"/>
      <c r="AS504" s="115"/>
      <c r="AT504" s="114"/>
      <c r="AU504" s="114"/>
    </row>
    <row r="505">
      <c r="B505" s="105"/>
      <c r="C505" s="106"/>
      <c r="D505" s="107"/>
      <c r="E505" s="108"/>
      <c r="F505" s="109"/>
      <c r="G505" s="109"/>
      <c r="I505" s="110"/>
      <c r="K505" s="110"/>
      <c r="M505" s="110"/>
      <c r="O505" s="110"/>
      <c r="Q505" s="110"/>
      <c r="S505" s="110"/>
      <c r="T505" s="111"/>
      <c r="U505" s="111"/>
      <c r="W505" s="112"/>
      <c r="Y505" s="112"/>
      <c r="AA505" s="112"/>
      <c r="AC505" s="112"/>
      <c r="AE505" s="112"/>
      <c r="AG505" s="112"/>
      <c r="AI505" s="113"/>
      <c r="AJ505" s="114"/>
      <c r="AK505" s="113"/>
      <c r="AL505" s="114"/>
      <c r="AM505" s="113"/>
      <c r="AN505" s="114"/>
      <c r="AO505" s="115"/>
      <c r="AP505" s="114"/>
      <c r="AQ505" s="115"/>
      <c r="AR505" s="114"/>
      <c r="AS505" s="115"/>
      <c r="AT505" s="114"/>
      <c r="AU505" s="114"/>
    </row>
    <row r="506">
      <c r="B506" s="105"/>
      <c r="C506" s="106"/>
      <c r="D506" s="107"/>
      <c r="E506" s="108"/>
      <c r="F506" s="109"/>
      <c r="G506" s="109"/>
      <c r="I506" s="110"/>
      <c r="K506" s="110"/>
      <c r="M506" s="110"/>
      <c r="O506" s="110"/>
      <c r="Q506" s="110"/>
      <c r="S506" s="110"/>
      <c r="T506" s="111"/>
      <c r="U506" s="111"/>
      <c r="W506" s="112"/>
      <c r="Y506" s="112"/>
      <c r="AA506" s="112"/>
      <c r="AC506" s="112"/>
      <c r="AE506" s="112"/>
      <c r="AG506" s="112"/>
      <c r="AI506" s="113"/>
      <c r="AJ506" s="114"/>
      <c r="AK506" s="113"/>
      <c r="AL506" s="114"/>
      <c r="AM506" s="113"/>
      <c r="AN506" s="114"/>
      <c r="AO506" s="115"/>
      <c r="AP506" s="114"/>
      <c r="AQ506" s="115"/>
      <c r="AR506" s="114"/>
      <c r="AS506" s="115"/>
      <c r="AT506" s="114"/>
      <c r="AU506" s="114"/>
    </row>
  </sheetData>
  <autoFilter ref="$B$3:$E$98"/>
  <mergeCells count="42">
    <mergeCell ref="AF2:AG2"/>
    <mergeCell ref="AH2:AH3"/>
    <mergeCell ref="AI2:AT2"/>
    <mergeCell ref="AF3:AG3"/>
    <mergeCell ref="AI3:AJ3"/>
    <mergeCell ref="AK3:AL3"/>
    <mergeCell ref="AM3:AN3"/>
    <mergeCell ref="AS3:AT3"/>
    <mergeCell ref="AQ17:AR17"/>
    <mergeCell ref="AS17:AT17"/>
    <mergeCell ref="AO3:AP3"/>
    <mergeCell ref="AQ3:AR3"/>
    <mergeCell ref="AI16:AT16"/>
    <mergeCell ref="AI17:AJ17"/>
    <mergeCell ref="AK17:AL17"/>
    <mergeCell ref="AM17:AN17"/>
    <mergeCell ref="AO17:AP17"/>
    <mergeCell ref="H3:I3"/>
    <mergeCell ref="J3:K3"/>
    <mergeCell ref="L3:M3"/>
    <mergeCell ref="N3:O3"/>
    <mergeCell ref="B2:E2"/>
    <mergeCell ref="G2:G3"/>
    <mergeCell ref="H2:I2"/>
    <mergeCell ref="J2:K2"/>
    <mergeCell ref="L2:M2"/>
    <mergeCell ref="N2:O2"/>
    <mergeCell ref="P2:Q2"/>
    <mergeCell ref="P3:Q3"/>
    <mergeCell ref="V2:W2"/>
    <mergeCell ref="V3:W3"/>
    <mergeCell ref="X3:Y3"/>
    <mergeCell ref="Z3:AA3"/>
    <mergeCell ref="AB3:AC3"/>
    <mergeCell ref="AD3:AE3"/>
    <mergeCell ref="R2:S2"/>
    <mergeCell ref="U2:U3"/>
    <mergeCell ref="X2:Y2"/>
    <mergeCell ref="Z2:AA2"/>
    <mergeCell ref="AB2:AC2"/>
    <mergeCell ref="AD2:AE2"/>
    <mergeCell ref="R3:S3"/>
  </mergeCells>
  <conditionalFormatting sqref="F4:G98 T4:U98">
    <cfRule type="expression" dxfId="0" priority="1">
      <formula>$L4="DESCARREGADO"</formula>
    </cfRule>
  </conditionalFormatting>
  <conditionalFormatting sqref="F4:G98 T4:U98">
    <cfRule type="expression" dxfId="1" priority="2">
      <formula>$L4="TRANSFERIDO"</formula>
    </cfRule>
  </conditionalFormatting>
  <conditionalFormatting sqref="C1 C3:C98 C100:C506">
    <cfRule type="expression" dxfId="2" priority="3">
      <formula>G1=TRUE</formula>
    </cfRule>
  </conditionalFormatting>
  <conditionalFormatting sqref="C1 C3:C98 C100:C506">
    <cfRule type="expression" dxfId="3" priority="4">
      <formula>U1=TRUE</formula>
    </cfRule>
  </conditionalFormatting>
  <conditionalFormatting sqref="I4:I98 K17 M17 O17 Q17 S17 K23 M23 K31 M31 O31 Q31 S31 K39:K43 M40:M43 O40 Q40 S40:S43 O42:O43 Q42:Q43 K46:K49 M46:M49 O46:O49 Q46:Q49 S46:S49 K51:K58 M51:M58 O51:O58 Q51:Q58 S51:S58 K61:K64 M61:M64 O61:O64 Q61:Q64 S61:S64 K66 M66 O66 Q66 S66 K88:K89 O89">
    <cfRule type="containsBlanks" dxfId="4" priority="5">
      <formula>LEN(TRIM(I4))=0</formula>
    </cfRule>
  </conditionalFormatting>
  <conditionalFormatting sqref="K4:K98 M23 M36 O36:O37 Q36:Q38 S36:S38 M41:M42 S41 O42 Q42 O89">
    <cfRule type="containsBlanks" dxfId="4" priority="6">
      <formula>LEN(TRIM(K4))=0</formula>
    </cfRule>
  </conditionalFormatting>
  <conditionalFormatting sqref="M4:M98 O40 Q40">
    <cfRule type="containsBlanks" dxfId="4" priority="7">
      <formula>LEN(TRIM(M4))=0</formula>
    </cfRule>
  </conditionalFormatting>
  <conditionalFormatting sqref="C4">
    <cfRule type="notContainsBlanks" dxfId="5" priority="8">
      <formula>LEN(TRIM(C4))&gt;0</formula>
    </cfRule>
  </conditionalFormatting>
  <conditionalFormatting sqref="O4:O98 Q36:Q37 S36">
    <cfRule type="containsBlanks" dxfId="4" priority="9">
      <formula>LEN(TRIM(O4))=0</formula>
    </cfRule>
  </conditionalFormatting>
  <conditionalFormatting sqref="Q4:Q98">
    <cfRule type="containsBlanks" dxfId="4" priority="10">
      <formula>LEN(TRIM(Q4))=0</formula>
    </cfRule>
  </conditionalFormatting>
  <conditionalFormatting sqref="S4:S98">
    <cfRule type="containsBlanks" dxfId="4" priority="11">
      <formula>LEN(TRIM(S4))=0</formula>
    </cfRule>
  </conditionalFormatting>
  <conditionalFormatting sqref="W4:W98 Y39 AA39 AC39 AE39 AG39 Y59:Y60 AA59:AA60 AC59:AC60 AE59:AE60 AG59:AG60 AG62:AG63 Y63 AA63 AC63 AE63 Y65 AA65 AC65 AE65 AG65 Y67:Y85 AA67:AA85 AC67:AC85 AE67:AE85 AG67:AG85">
    <cfRule type="containsBlanks" dxfId="4" priority="12">
      <formula>LEN(TRIM(W4))=0</formula>
    </cfRule>
  </conditionalFormatting>
  <conditionalFormatting sqref="Y4:Y98">
    <cfRule type="containsBlanks" dxfId="4" priority="13">
      <formula>LEN(TRIM(Y4))=0</formula>
    </cfRule>
  </conditionalFormatting>
  <conditionalFormatting sqref="AA4:AA98">
    <cfRule type="containsBlanks" dxfId="4" priority="14">
      <formula>LEN(TRIM(AA4))=0</formula>
    </cfRule>
  </conditionalFormatting>
  <conditionalFormatting sqref="AC4:AC98">
    <cfRule type="containsBlanks" dxfId="4" priority="15">
      <formula>LEN(TRIM(AC4))=0</formula>
    </cfRule>
  </conditionalFormatting>
  <conditionalFormatting sqref="AE4:AE98">
    <cfRule type="containsBlanks" dxfId="4" priority="16">
      <formula>LEN(TRIM(AE4))=0</formula>
    </cfRule>
  </conditionalFormatting>
  <conditionalFormatting sqref="AG4:AG98">
    <cfRule type="containsBlanks" dxfId="4" priority="17">
      <formula>LEN(TRIM(AG4))=0</formula>
    </cfRule>
  </conditionalFormatting>
  <dataValidations>
    <dataValidation type="list" allowBlank="1" showErrorMessage="1" sqref="L4:L98">
      <formula1>"---,39,40,41,42,43,44,45,46,38"</formula1>
    </dataValidation>
    <dataValidation type="list" allowBlank="1" showErrorMessage="1" sqref="D4:D98">
      <formula1>"CHEFE DE EQUIPE,MOTORISTA,COMBATENTE			,RESGATISTA	,LÍDER DE RESGATE,RÁDIO OPERADOR,---"</formula1>
    </dataValidation>
    <dataValidation type="list" allowBlank="1" showErrorMessage="1" sqref="H4:H98 J4:J98 V4:V98 X4:X98">
      <formula1>"EG,GG,G,M,P,---,XL"</formula1>
    </dataValidation>
    <dataValidation type="list" allowBlank="1" showErrorMessage="1" sqref="Z4:Z98">
      <formula1>"39,40,41,42,43,44,45,46,---"</formula1>
    </dataValidation>
    <dataValidation type="list" allowBlank="1" showErrorMessage="1" sqref="B4:B98">
      <formula1>"INT.,EXT.,EST.,---"</formula1>
    </dataValidation>
    <dataValidation type="list" allowBlank="1" showErrorMessage="1" sqref="N4:N98 P4:P98 R4:R98 AB4:AB98 AD4:AD98 AF4:AF98">
      <formula1>"UN,---"</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B0F00"/>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2.0"/>
    <col customWidth="1" min="2" max="2" width="16.63"/>
    <col customWidth="1" min="3" max="3" width="15.0"/>
    <col customWidth="1" min="4" max="4" width="20.88"/>
    <col customWidth="1" min="5" max="5" width="15.0"/>
    <col customWidth="1" min="6" max="6" width="6.75"/>
    <col customWidth="1" min="7" max="7" width="146.5"/>
    <col customWidth="1" min="8" max="8" width="2.75"/>
  </cols>
  <sheetData>
    <row r="1" ht="28.5" customHeight="1">
      <c r="A1" s="116"/>
      <c r="B1" s="117" t="s">
        <v>290</v>
      </c>
      <c r="C1" s="117" t="s">
        <v>291</v>
      </c>
      <c r="D1" s="117" t="s">
        <v>292</v>
      </c>
      <c r="E1" s="118" t="s">
        <v>293</v>
      </c>
      <c r="F1" s="119" t="s">
        <v>294</v>
      </c>
      <c r="G1" s="120"/>
      <c r="H1" s="116"/>
    </row>
    <row r="2" ht="15.75" customHeight="1">
      <c r="A2" s="121"/>
      <c r="B2" s="122" t="s">
        <v>286</v>
      </c>
      <c r="C2" s="123">
        <v>1442090.0</v>
      </c>
      <c r="D2" s="124" t="s">
        <v>295</v>
      </c>
      <c r="E2" s="125" t="s">
        <v>296</v>
      </c>
      <c r="F2" s="126">
        <v>1.0</v>
      </c>
      <c r="G2" s="127" t="s">
        <v>297</v>
      </c>
      <c r="H2" s="121"/>
    </row>
    <row r="3" ht="15.75" customHeight="1">
      <c r="A3" s="121"/>
      <c r="B3" s="128" t="s">
        <v>286</v>
      </c>
      <c r="C3" s="129">
        <v>1442100.0</v>
      </c>
      <c r="D3" s="124" t="s">
        <v>295</v>
      </c>
      <c r="E3" s="125" t="s">
        <v>296</v>
      </c>
      <c r="F3" s="130">
        <v>1.0</v>
      </c>
      <c r="G3" s="131" t="s">
        <v>298</v>
      </c>
      <c r="H3" s="121"/>
    </row>
    <row r="4" ht="15.75" customHeight="1">
      <c r="A4" s="121"/>
      <c r="B4" s="128" t="s">
        <v>286</v>
      </c>
      <c r="C4" s="129">
        <v>1442108.0</v>
      </c>
      <c r="D4" s="124" t="s">
        <v>295</v>
      </c>
      <c r="E4" s="125" t="s">
        <v>296</v>
      </c>
      <c r="F4" s="130">
        <v>4.0</v>
      </c>
      <c r="G4" s="131" t="s">
        <v>299</v>
      </c>
      <c r="H4" s="121"/>
    </row>
    <row r="5" ht="15.75" customHeight="1">
      <c r="A5" s="121"/>
      <c r="B5" s="128" t="s">
        <v>286</v>
      </c>
      <c r="C5" s="129">
        <v>1442115.0</v>
      </c>
      <c r="D5" s="124" t="s">
        <v>295</v>
      </c>
      <c r="E5" s="125" t="s">
        <v>296</v>
      </c>
      <c r="F5" s="130">
        <v>2.0</v>
      </c>
      <c r="G5" s="131" t="s">
        <v>300</v>
      </c>
      <c r="H5" s="121"/>
    </row>
    <row r="6" ht="15.75" customHeight="1">
      <c r="A6" s="121"/>
      <c r="B6" s="128" t="s">
        <v>286</v>
      </c>
      <c r="C6" s="129">
        <v>1442119.0</v>
      </c>
      <c r="D6" s="124" t="s">
        <v>295</v>
      </c>
      <c r="E6" s="125" t="s">
        <v>296</v>
      </c>
      <c r="F6" s="130">
        <v>3.0</v>
      </c>
      <c r="G6" s="131" t="s">
        <v>301</v>
      </c>
      <c r="H6" s="121"/>
    </row>
    <row r="7" ht="15.75" customHeight="1">
      <c r="A7" s="121"/>
      <c r="B7" s="128" t="s">
        <v>302</v>
      </c>
      <c r="C7" s="129">
        <v>1442127.0</v>
      </c>
      <c r="D7" s="124" t="s">
        <v>295</v>
      </c>
      <c r="E7" s="125" t="s">
        <v>296</v>
      </c>
      <c r="F7" s="130">
        <v>11.0</v>
      </c>
      <c r="G7" s="131" t="s">
        <v>303</v>
      </c>
      <c r="H7" s="121"/>
    </row>
    <row r="8" ht="15.75" customHeight="1">
      <c r="A8" s="121"/>
      <c r="B8" s="132" t="s">
        <v>286</v>
      </c>
      <c r="C8" s="133">
        <v>1442131.0</v>
      </c>
      <c r="D8" s="124" t="s">
        <v>295</v>
      </c>
      <c r="E8" s="125" t="s">
        <v>296</v>
      </c>
      <c r="F8" s="134">
        <v>4.0</v>
      </c>
      <c r="G8" s="135" t="s">
        <v>304</v>
      </c>
      <c r="H8" s="121"/>
    </row>
    <row r="9" ht="15.75" customHeight="1">
      <c r="A9" s="121"/>
      <c r="B9" s="132" t="s">
        <v>302</v>
      </c>
      <c r="C9" s="129">
        <v>1442135.0</v>
      </c>
      <c r="D9" s="124" t="s">
        <v>295</v>
      </c>
      <c r="E9" s="125" t="s">
        <v>296</v>
      </c>
      <c r="F9" s="130">
        <v>3.0</v>
      </c>
      <c r="G9" s="131" t="s">
        <v>305</v>
      </c>
      <c r="H9" s="121"/>
    </row>
    <row r="10" ht="15.75" customHeight="1">
      <c r="A10" s="121"/>
      <c r="B10" s="128" t="s">
        <v>286</v>
      </c>
      <c r="C10" s="129">
        <v>1442138.0</v>
      </c>
      <c r="D10" s="124" t="s">
        <v>295</v>
      </c>
      <c r="E10" s="125" t="s">
        <v>296</v>
      </c>
      <c r="F10" s="130">
        <v>1.0</v>
      </c>
      <c r="G10" s="131" t="s">
        <v>306</v>
      </c>
      <c r="H10" s="121"/>
    </row>
    <row r="11" ht="15.75" customHeight="1">
      <c r="A11" s="121"/>
      <c r="B11" s="128" t="s">
        <v>286</v>
      </c>
      <c r="C11" s="129">
        <v>1442147.0</v>
      </c>
      <c r="D11" s="124" t="s">
        <v>295</v>
      </c>
      <c r="E11" s="125" t="s">
        <v>296</v>
      </c>
      <c r="F11" s="130">
        <v>16.0</v>
      </c>
      <c r="G11" s="131" t="s">
        <v>307</v>
      </c>
      <c r="H11" s="121"/>
    </row>
    <row r="12" ht="15.75" customHeight="1">
      <c r="A12" s="121"/>
      <c r="B12" s="128" t="s">
        <v>302</v>
      </c>
      <c r="C12" s="129">
        <v>1442150.0</v>
      </c>
      <c r="D12" s="124" t="s">
        <v>295</v>
      </c>
      <c r="E12" s="125" t="s">
        <v>296</v>
      </c>
      <c r="F12" s="130">
        <v>15.0</v>
      </c>
      <c r="G12" s="131" t="s">
        <v>308</v>
      </c>
      <c r="H12" s="121"/>
    </row>
    <row r="13" ht="15.75" customHeight="1">
      <c r="A13" s="121"/>
      <c r="B13" s="128" t="s">
        <v>286</v>
      </c>
      <c r="C13" s="129">
        <v>1442153.0</v>
      </c>
      <c r="D13" s="124" t="s">
        <v>295</v>
      </c>
      <c r="E13" s="125" t="s">
        <v>296</v>
      </c>
      <c r="F13" s="130">
        <v>18.0</v>
      </c>
      <c r="G13" s="131" t="s">
        <v>309</v>
      </c>
      <c r="H13" s="121"/>
    </row>
    <row r="14" ht="15.75" customHeight="1">
      <c r="A14" s="121"/>
      <c r="B14" s="128" t="s">
        <v>286</v>
      </c>
      <c r="C14" s="129">
        <v>1442158.0</v>
      </c>
      <c r="D14" s="124" t="s">
        <v>295</v>
      </c>
      <c r="E14" s="125" t="s">
        <v>296</v>
      </c>
      <c r="F14" s="130">
        <v>17.0</v>
      </c>
      <c r="G14" s="131" t="s">
        <v>310</v>
      </c>
      <c r="H14" s="121"/>
    </row>
    <row r="15" ht="15.75" customHeight="1">
      <c r="A15" s="121"/>
      <c r="B15" s="128" t="s">
        <v>302</v>
      </c>
      <c r="C15" s="129">
        <v>1442161.0</v>
      </c>
      <c r="D15" s="124" t="s">
        <v>295</v>
      </c>
      <c r="E15" s="125" t="s">
        <v>296</v>
      </c>
      <c r="F15" s="136">
        <v>2.0</v>
      </c>
      <c r="G15" s="131" t="s">
        <v>311</v>
      </c>
      <c r="H15" s="121"/>
    </row>
    <row r="16" ht="15.75" customHeight="1">
      <c r="A16" s="121"/>
      <c r="B16" s="128" t="s">
        <v>286</v>
      </c>
      <c r="C16" s="129">
        <v>1442164.0</v>
      </c>
      <c r="D16" s="124" t="s">
        <v>295</v>
      </c>
      <c r="E16" s="125" t="s">
        <v>296</v>
      </c>
      <c r="F16" s="130">
        <v>1.0</v>
      </c>
      <c r="G16" s="131" t="s">
        <v>312</v>
      </c>
      <c r="H16" s="121"/>
    </row>
    <row r="17" ht="15.75" customHeight="1">
      <c r="A17" s="121"/>
      <c r="B17" s="128" t="s">
        <v>286</v>
      </c>
      <c r="C17" s="129">
        <v>1442167.0</v>
      </c>
      <c r="D17" s="124" t="s">
        <v>295</v>
      </c>
      <c r="E17" s="125" t="s">
        <v>296</v>
      </c>
      <c r="F17" s="130">
        <v>65.0</v>
      </c>
      <c r="G17" s="131" t="s">
        <v>313</v>
      </c>
      <c r="H17" s="121"/>
    </row>
    <row r="18" ht="15.75" customHeight="1">
      <c r="A18" s="121"/>
      <c r="B18" s="128" t="s">
        <v>286</v>
      </c>
      <c r="C18" s="129">
        <v>1442196.0</v>
      </c>
      <c r="D18" s="124" t="s">
        <v>295</v>
      </c>
      <c r="E18" s="125" t="s">
        <v>296</v>
      </c>
      <c r="F18" s="130">
        <v>38.0</v>
      </c>
      <c r="G18" s="131" t="s">
        <v>314</v>
      </c>
      <c r="H18" s="121"/>
    </row>
    <row r="19" ht="15.75" customHeight="1">
      <c r="A19" s="121"/>
      <c r="B19" s="128" t="s">
        <v>302</v>
      </c>
      <c r="C19" s="129">
        <v>1442333.0</v>
      </c>
      <c r="D19" s="124" t="s">
        <v>295</v>
      </c>
      <c r="E19" s="125" t="s">
        <v>296</v>
      </c>
      <c r="F19" s="130">
        <v>42.0</v>
      </c>
      <c r="G19" s="131" t="s">
        <v>315</v>
      </c>
      <c r="H19" s="121"/>
    </row>
    <row r="20" ht="15.75" customHeight="1">
      <c r="A20" s="121"/>
      <c r="B20" s="128" t="s">
        <v>286</v>
      </c>
      <c r="C20" s="129">
        <v>1442334.0</v>
      </c>
      <c r="D20" s="124" t="s">
        <v>295</v>
      </c>
      <c r="E20" s="125" t="s">
        <v>296</v>
      </c>
      <c r="F20" s="130">
        <v>3.0</v>
      </c>
      <c r="G20" s="131" t="s">
        <v>316</v>
      </c>
      <c r="H20" s="121"/>
    </row>
    <row r="21" ht="15.75" customHeight="1">
      <c r="A21" s="121"/>
      <c r="B21" s="128" t="s">
        <v>286</v>
      </c>
      <c r="C21" s="129">
        <v>1442335.0</v>
      </c>
      <c r="D21" s="124" t="s">
        <v>295</v>
      </c>
      <c r="E21" s="125" t="s">
        <v>296</v>
      </c>
      <c r="F21" s="130">
        <v>4.0</v>
      </c>
      <c r="G21" s="131" t="s">
        <v>317</v>
      </c>
      <c r="H21" s="121"/>
    </row>
    <row r="22" ht="15.75" customHeight="1">
      <c r="A22" s="121"/>
      <c r="B22" s="128" t="s">
        <v>286</v>
      </c>
      <c r="C22" s="129">
        <v>1442336.0</v>
      </c>
      <c r="D22" s="124" t="s">
        <v>295</v>
      </c>
      <c r="E22" s="125" t="s">
        <v>296</v>
      </c>
      <c r="F22" s="130">
        <v>17.0</v>
      </c>
      <c r="G22" s="131" t="s">
        <v>318</v>
      </c>
      <c r="H22" s="121"/>
    </row>
    <row r="23" ht="15.75" customHeight="1">
      <c r="A23" s="121"/>
      <c r="B23" s="128" t="s">
        <v>286</v>
      </c>
      <c r="C23" s="129">
        <v>1442348.0</v>
      </c>
      <c r="D23" s="124" t="s">
        <v>295</v>
      </c>
      <c r="E23" s="125" t="s">
        <v>296</v>
      </c>
      <c r="F23" s="130">
        <v>2.0</v>
      </c>
      <c r="G23" s="131" t="s">
        <v>319</v>
      </c>
      <c r="H23" s="121"/>
    </row>
    <row r="24" ht="15.75" customHeight="1">
      <c r="A24" s="121"/>
      <c r="B24" s="128" t="s">
        <v>286</v>
      </c>
      <c r="C24" s="129">
        <v>1442353.0</v>
      </c>
      <c r="D24" s="124" t="s">
        <v>295</v>
      </c>
      <c r="E24" s="125" t="s">
        <v>296</v>
      </c>
      <c r="F24" s="130">
        <v>52.0</v>
      </c>
      <c r="G24" s="131" t="s">
        <v>320</v>
      </c>
      <c r="H24" s="121"/>
    </row>
    <row r="25" ht="15.75" customHeight="1">
      <c r="A25" s="121"/>
      <c r="B25" s="128" t="s">
        <v>286</v>
      </c>
      <c r="C25" s="129">
        <v>1442356.0</v>
      </c>
      <c r="D25" s="124" t="s">
        <v>295</v>
      </c>
      <c r="E25" s="125" t="s">
        <v>296</v>
      </c>
      <c r="F25" s="130">
        <v>2.0</v>
      </c>
      <c r="G25" s="131" t="s">
        <v>321</v>
      </c>
      <c r="H25" s="121"/>
    </row>
    <row r="26" ht="15.75" customHeight="1">
      <c r="A26" s="121"/>
      <c r="B26" s="128" t="s">
        <v>322</v>
      </c>
      <c r="C26" s="129">
        <v>1442359.0</v>
      </c>
      <c r="D26" s="124" t="s">
        <v>295</v>
      </c>
      <c r="E26" s="125" t="s">
        <v>296</v>
      </c>
      <c r="F26" s="130">
        <v>2.0</v>
      </c>
      <c r="G26" s="131" t="s">
        <v>323</v>
      </c>
      <c r="H26" s="121"/>
    </row>
    <row r="27" ht="15.75" customHeight="1">
      <c r="A27" s="121"/>
      <c r="B27" s="128" t="s">
        <v>302</v>
      </c>
      <c r="C27" s="129">
        <v>1442431.0</v>
      </c>
      <c r="D27" s="124" t="s">
        <v>295</v>
      </c>
      <c r="E27" s="125" t="s">
        <v>296</v>
      </c>
      <c r="F27" s="130">
        <v>1.0</v>
      </c>
      <c r="G27" s="131" t="s">
        <v>312</v>
      </c>
      <c r="H27" s="121"/>
    </row>
    <row r="28" ht="15.75" customHeight="1">
      <c r="A28" s="121"/>
      <c r="B28" s="128" t="s">
        <v>286</v>
      </c>
      <c r="C28" s="129">
        <v>1442518.0</v>
      </c>
      <c r="D28" s="124" t="s">
        <v>295</v>
      </c>
      <c r="E28" s="125" t="s">
        <v>296</v>
      </c>
      <c r="F28" s="130">
        <v>4.0</v>
      </c>
      <c r="G28" s="131" t="s">
        <v>324</v>
      </c>
      <c r="H28" s="121"/>
    </row>
    <row r="29" ht="15.75" customHeight="1">
      <c r="A29" s="121"/>
      <c r="B29" s="128" t="s">
        <v>286</v>
      </c>
      <c r="C29" s="129">
        <v>1442521.0</v>
      </c>
      <c r="D29" s="124" t="s">
        <v>295</v>
      </c>
      <c r="E29" s="125" t="s">
        <v>296</v>
      </c>
      <c r="F29" s="130">
        <v>1.0</v>
      </c>
      <c r="G29" s="131" t="s">
        <v>325</v>
      </c>
      <c r="H29" s="121"/>
    </row>
    <row r="30" ht="15.75" customHeight="1">
      <c r="A30" s="121"/>
      <c r="B30" s="128" t="s">
        <v>286</v>
      </c>
      <c r="C30" s="129">
        <v>1442523.0</v>
      </c>
      <c r="D30" s="124" t="s">
        <v>295</v>
      </c>
      <c r="E30" s="125" t="s">
        <v>296</v>
      </c>
      <c r="F30" s="130">
        <v>2.0</v>
      </c>
      <c r="G30" s="131" t="s">
        <v>326</v>
      </c>
      <c r="H30" s="121"/>
    </row>
    <row r="31" ht="15.75" customHeight="1">
      <c r="A31" s="121"/>
      <c r="B31" s="128" t="s">
        <v>286</v>
      </c>
      <c r="C31" s="129">
        <v>1442538.0</v>
      </c>
      <c r="D31" s="124" t="s">
        <v>295</v>
      </c>
      <c r="E31" s="125" t="s">
        <v>296</v>
      </c>
      <c r="F31" s="130">
        <v>3.0</v>
      </c>
      <c r="G31" s="131" t="s">
        <v>327</v>
      </c>
      <c r="H31" s="121"/>
    </row>
    <row r="32" ht="15.75" customHeight="1">
      <c r="A32" s="121"/>
      <c r="B32" s="128" t="s">
        <v>286</v>
      </c>
      <c r="C32" s="129">
        <v>1442552.0</v>
      </c>
      <c r="D32" s="124" t="s">
        <v>295</v>
      </c>
      <c r="E32" s="125" t="s">
        <v>296</v>
      </c>
      <c r="F32" s="130">
        <v>20.0</v>
      </c>
      <c r="G32" s="131" t="s">
        <v>328</v>
      </c>
      <c r="H32" s="121"/>
    </row>
    <row r="33" ht="15.75" customHeight="1">
      <c r="A33" s="121"/>
      <c r="B33" s="128" t="s">
        <v>286</v>
      </c>
      <c r="C33" s="129">
        <v>1442556.0</v>
      </c>
      <c r="D33" s="124" t="s">
        <v>295</v>
      </c>
      <c r="E33" s="125" t="s">
        <v>296</v>
      </c>
      <c r="F33" s="130">
        <v>25.0</v>
      </c>
      <c r="G33" s="131" t="s">
        <v>329</v>
      </c>
      <c r="H33" s="121"/>
    </row>
    <row r="34" ht="15.75" customHeight="1">
      <c r="A34" s="121"/>
      <c r="B34" s="128" t="s">
        <v>286</v>
      </c>
      <c r="C34" s="129">
        <v>1442559.0</v>
      </c>
      <c r="D34" s="124" t="s">
        <v>295</v>
      </c>
      <c r="E34" s="125" t="s">
        <v>296</v>
      </c>
      <c r="F34" s="130">
        <v>25.0</v>
      </c>
      <c r="G34" s="131" t="s">
        <v>330</v>
      </c>
      <c r="H34" s="121"/>
    </row>
    <row r="35" ht="15.75" customHeight="1">
      <c r="A35" s="121"/>
      <c r="B35" s="128" t="s">
        <v>286</v>
      </c>
      <c r="C35" s="129">
        <v>1442562.0</v>
      </c>
      <c r="D35" s="124" t="s">
        <v>295</v>
      </c>
      <c r="E35" s="125" t="s">
        <v>296</v>
      </c>
      <c r="F35" s="130">
        <v>20.0</v>
      </c>
      <c r="G35" s="131" t="s">
        <v>331</v>
      </c>
      <c r="H35" s="121"/>
    </row>
    <row r="36" ht="15.75" customHeight="1">
      <c r="A36" s="121"/>
      <c r="B36" s="128" t="s">
        <v>286</v>
      </c>
      <c r="C36" s="129">
        <v>1442567.0</v>
      </c>
      <c r="D36" s="124" t="s">
        <v>295</v>
      </c>
      <c r="E36" s="125" t="s">
        <v>296</v>
      </c>
      <c r="F36" s="130">
        <v>1.0</v>
      </c>
      <c r="G36" s="131" t="s">
        <v>332</v>
      </c>
      <c r="H36" s="121"/>
    </row>
    <row r="37" ht="15.75" customHeight="1">
      <c r="A37" s="121"/>
      <c r="B37" s="128" t="s">
        <v>302</v>
      </c>
      <c r="C37" s="129">
        <v>1442587.0</v>
      </c>
      <c r="D37" s="124" t="s">
        <v>295</v>
      </c>
      <c r="E37" s="125" t="s">
        <v>296</v>
      </c>
      <c r="F37" s="130">
        <v>5.0</v>
      </c>
      <c r="G37" s="131" t="s">
        <v>333</v>
      </c>
      <c r="H37" s="121"/>
    </row>
    <row r="38" ht="15.75" customHeight="1">
      <c r="A38" s="121"/>
      <c r="B38" s="128" t="s">
        <v>286</v>
      </c>
      <c r="C38" s="129">
        <v>1442595.0</v>
      </c>
      <c r="D38" s="124" t="s">
        <v>295</v>
      </c>
      <c r="E38" s="125" t="s">
        <v>296</v>
      </c>
      <c r="F38" s="130">
        <v>1.0</v>
      </c>
      <c r="G38" s="131" t="s">
        <v>334</v>
      </c>
      <c r="H38" s="121"/>
    </row>
    <row r="39" ht="15.75" customHeight="1">
      <c r="A39" s="121"/>
      <c r="B39" s="128" t="s">
        <v>286</v>
      </c>
      <c r="C39" s="129">
        <v>1442597.0</v>
      </c>
      <c r="D39" s="124" t="s">
        <v>295</v>
      </c>
      <c r="E39" s="125" t="s">
        <v>296</v>
      </c>
      <c r="F39" s="130">
        <v>1.0</v>
      </c>
      <c r="G39" s="131" t="s">
        <v>335</v>
      </c>
      <c r="H39" s="121"/>
    </row>
    <row r="40" ht="15.75" customHeight="1">
      <c r="A40" s="121"/>
      <c r="B40" s="128" t="s">
        <v>286</v>
      </c>
      <c r="C40" s="129">
        <v>1442600.0</v>
      </c>
      <c r="D40" s="124" t="s">
        <v>295</v>
      </c>
      <c r="E40" s="125" t="s">
        <v>296</v>
      </c>
      <c r="F40" s="130">
        <v>1.0</v>
      </c>
      <c r="G40" s="131" t="s">
        <v>336</v>
      </c>
      <c r="H40" s="121"/>
    </row>
    <row r="41" ht="15.75" customHeight="1">
      <c r="A41" s="121"/>
      <c r="B41" s="128" t="s">
        <v>286</v>
      </c>
      <c r="C41" s="129">
        <v>1442642.0</v>
      </c>
      <c r="D41" s="124" t="s">
        <v>295</v>
      </c>
      <c r="E41" s="125" t="s">
        <v>296</v>
      </c>
      <c r="F41" s="130">
        <v>13.0</v>
      </c>
      <c r="G41" s="131" t="s">
        <v>337</v>
      </c>
      <c r="H41" s="121"/>
    </row>
    <row r="42" ht="15.75" customHeight="1">
      <c r="A42" s="121"/>
      <c r="B42" s="128" t="s">
        <v>286</v>
      </c>
      <c r="C42" s="129">
        <v>1442644.0</v>
      </c>
      <c r="D42" s="124" t="s">
        <v>295</v>
      </c>
      <c r="E42" s="125" t="s">
        <v>296</v>
      </c>
      <c r="F42" s="130">
        <v>12.0</v>
      </c>
      <c r="G42" s="131" t="s">
        <v>338</v>
      </c>
      <c r="H42" s="121"/>
    </row>
    <row r="43" ht="15.75" customHeight="1">
      <c r="A43" s="121"/>
      <c r="B43" s="128" t="s">
        <v>286</v>
      </c>
      <c r="C43" s="129">
        <v>1443108.0</v>
      </c>
      <c r="D43" s="124" t="s">
        <v>295</v>
      </c>
      <c r="E43" s="125" t="s">
        <v>296</v>
      </c>
      <c r="F43" s="130">
        <v>2.0</v>
      </c>
      <c r="G43" s="131" t="s">
        <v>339</v>
      </c>
      <c r="H43" s="121"/>
    </row>
    <row r="44" ht="15.75" customHeight="1">
      <c r="A44" s="121"/>
      <c r="B44" s="128" t="s">
        <v>286</v>
      </c>
      <c r="C44" s="129">
        <v>1443114.0</v>
      </c>
      <c r="D44" s="124" t="s">
        <v>295</v>
      </c>
      <c r="E44" s="125" t="s">
        <v>296</v>
      </c>
      <c r="F44" s="130">
        <v>4.0</v>
      </c>
      <c r="G44" s="131" t="s">
        <v>340</v>
      </c>
      <c r="H44" s="121"/>
    </row>
    <row r="45" ht="15.75" customHeight="1">
      <c r="A45" s="121"/>
      <c r="B45" s="128" t="s">
        <v>286</v>
      </c>
      <c r="C45" s="129">
        <v>1443119.0</v>
      </c>
      <c r="D45" s="124" t="s">
        <v>295</v>
      </c>
      <c r="E45" s="125" t="s">
        <v>296</v>
      </c>
      <c r="F45" s="130">
        <v>5.0</v>
      </c>
      <c r="G45" s="131" t="s">
        <v>341</v>
      </c>
      <c r="H45" s="121"/>
    </row>
    <row r="46" ht="15.75" customHeight="1">
      <c r="A46" s="121"/>
      <c r="B46" s="128" t="s">
        <v>286</v>
      </c>
      <c r="C46" s="129">
        <v>1443122.0</v>
      </c>
      <c r="D46" s="124" t="s">
        <v>295</v>
      </c>
      <c r="E46" s="125" t="s">
        <v>296</v>
      </c>
      <c r="F46" s="130">
        <v>1.0</v>
      </c>
      <c r="G46" s="131" t="s">
        <v>342</v>
      </c>
      <c r="H46" s="121"/>
    </row>
    <row r="47" ht="15.75" customHeight="1">
      <c r="A47" s="121"/>
      <c r="B47" s="128" t="s">
        <v>302</v>
      </c>
      <c r="C47" s="129">
        <v>1443125.0</v>
      </c>
      <c r="D47" s="124" t="s">
        <v>295</v>
      </c>
      <c r="E47" s="125" t="s">
        <v>296</v>
      </c>
      <c r="F47" s="130">
        <v>48.0</v>
      </c>
      <c r="G47" s="131" t="s">
        <v>343</v>
      </c>
      <c r="H47" s="121"/>
    </row>
    <row r="48" ht="15.75" customHeight="1">
      <c r="A48" s="121"/>
      <c r="B48" s="128" t="s">
        <v>286</v>
      </c>
      <c r="C48" s="129">
        <v>1443128.0</v>
      </c>
      <c r="D48" s="124" t="s">
        <v>295</v>
      </c>
      <c r="E48" s="125" t="s">
        <v>296</v>
      </c>
      <c r="F48" s="130">
        <v>20.0</v>
      </c>
      <c r="G48" s="131" t="s">
        <v>344</v>
      </c>
      <c r="H48" s="121"/>
    </row>
    <row r="49" ht="15.75" customHeight="1">
      <c r="A49" s="121"/>
      <c r="B49" s="128" t="s">
        <v>302</v>
      </c>
      <c r="C49" s="129">
        <v>1443131.0</v>
      </c>
      <c r="D49" s="124" t="s">
        <v>295</v>
      </c>
      <c r="E49" s="125" t="s">
        <v>296</v>
      </c>
      <c r="F49" s="130">
        <v>9.0</v>
      </c>
      <c r="G49" s="131" t="s">
        <v>345</v>
      </c>
      <c r="H49" s="121"/>
    </row>
    <row r="50" ht="15.75" customHeight="1">
      <c r="A50" s="121"/>
      <c r="B50" s="128" t="s">
        <v>302</v>
      </c>
      <c r="C50" s="129">
        <v>1443137.0</v>
      </c>
      <c r="D50" s="124" t="s">
        <v>295</v>
      </c>
      <c r="E50" s="125" t="s">
        <v>296</v>
      </c>
      <c r="F50" s="130">
        <v>18.0</v>
      </c>
      <c r="G50" s="131" t="s">
        <v>346</v>
      </c>
      <c r="H50" s="121"/>
    </row>
    <row r="51" ht="15.75" customHeight="1">
      <c r="A51" s="121"/>
      <c r="B51" s="128" t="s">
        <v>286</v>
      </c>
      <c r="C51" s="129">
        <v>1443141.0</v>
      </c>
      <c r="D51" s="124" t="s">
        <v>295</v>
      </c>
      <c r="E51" s="125" t="s">
        <v>296</v>
      </c>
      <c r="F51" s="130">
        <v>13.0</v>
      </c>
      <c r="G51" s="131" t="s">
        <v>347</v>
      </c>
      <c r="H51" s="121"/>
    </row>
    <row r="52" ht="15.75" customHeight="1">
      <c r="A52" s="121"/>
      <c r="B52" s="128" t="s">
        <v>286</v>
      </c>
      <c r="C52" s="129">
        <v>1443144.0</v>
      </c>
      <c r="D52" s="124" t="s">
        <v>295</v>
      </c>
      <c r="E52" s="125" t="s">
        <v>296</v>
      </c>
      <c r="F52" s="130">
        <v>43.0</v>
      </c>
      <c r="G52" s="131" t="s">
        <v>348</v>
      </c>
      <c r="H52" s="121"/>
    </row>
    <row r="53" ht="15.75" customHeight="1">
      <c r="A53" s="121"/>
      <c r="B53" s="128" t="s">
        <v>286</v>
      </c>
      <c r="C53" s="129">
        <v>1443146.0</v>
      </c>
      <c r="D53" s="124" t="s">
        <v>295</v>
      </c>
      <c r="E53" s="125" t="s">
        <v>296</v>
      </c>
      <c r="F53" s="130">
        <v>9.0</v>
      </c>
      <c r="G53" s="131" t="s">
        <v>349</v>
      </c>
      <c r="H53" s="121"/>
    </row>
    <row r="54" ht="15.75" customHeight="1">
      <c r="A54" s="121"/>
      <c r="B54" s="128" t="s">
        <v>286</v>
      </c>
      <c r="C54" s="129">
        <v>1443150.0</v>
      </c>
      <c r="D54" s="124" t="s">
        <v>295</v>
      </c>
      <c r="E54" s="125" t="s">
        <v>296</v>
      </c>
      <c r="F54" s="130">
        <v>5.0</v>
      </c>
      <c r="G54" s="131" t="s">
        <v>350</v>
      </c>
      <c r="H54" s="121"/>
    </row>
    <row r="55" ht="15.75" customHeight="1">
      <c r="A55" s="121"/>
      <c r="B55" s="128" t="s">
        <v>286</v>
      </c>
      <c r="C55" s="129">
        <v>1443154.0</v>
      </c>
      <c r="D55" s="124" t="s">
        <v>295</v>
      </c>
      <c r="E55" s="125" t="s">
        <v>296</v>
      </c>
      <c r="F55" s="130">
        <v>5.0</v>
      </c>
      <c r="G55" s="131" t="s">
        <v>351</v>
      </c>
      <c r="H55" s="121"/>
    </row>
    <row r="56" ht="15.75" customHeight="1">
      <c r="A56" s="121"/>
      <c r="B56" s="128" t="s">
        <v>286</v>
      </c>
      <c r="C56" s="129">
        <v>1443206.0</v>
      </c>
      <c r="D56" s="124" t="s">
        <v>295</v>
      </c>
      <c r="E56" s="125" t="s">
        <v>296</v>
      </c>
      <c r="F56" s="130">
        <v>48.0</v>
      </c>
      <c r="G56" s="131" t="s">
        <v>352</v>
      </c>
      <c r="H56" s="121"/>
    </row>
    <row r="57" ht="15.75" customHeight="1">
      <c r="A57" s="121"/>
      <c r="B57" s="128" t="s">
        <v>286</v>
      </c>
      <c r="C57" s="129">
        <v>1443223.0</v>
      </c>
      <c r="D57" s="124" t="s">
        <v>295</v>
      </c>
      <c r="E57" s="125" t="s">
        <v>296</v>
      </c>
      <c r="F57" s="130">
        <v>38.0</v>
      </c>
      <c r="G57" s="131" t="s">
        <v>353</v>
      </c>
      <c r="H57" s="121"/>
    </row>
    <row r="58" ht="15.75" customHeight="1">
      <c r="A58" s="121"/>
      <c r="B58" s="128" t="s">
        <v>286</v>
      </c>
      <c r="C58" s="129">
        <v>1443229.0</v>
      </c>
      <c r="D58" s="124" t="s">
        <v>295</v>
      </c>
      <c r="E58" s="125" t="s">
        <v>296</v>
      </c>
      <c r="F58" s="130">
        <v>13.0</v>
      </c>
      <c r="G58" s="131" t="s">
        <v>354</v>
      </c>
      <c r="H58" s="121"/>
    </row>
    <row r="59" ht="15.75" customHeight="1">
      <c r="A59" s="121"/>
      <c r="B59" s="128" t="s">
        <v>286</v>
      </c>
      <c r="C59" s="129">
        <v>1443234.0</v>
      </c>
      <c r="D59" s="124" t="s">
        <v>295</v>
      </c>
      <c r="E59" s="125" t="s">
        <v>296</v>
      </c>
      <c r="F59" s="130">
        <v>4.0</v>
      </c>
      <c r="G59" s="131" t="s">
        <v>355</v>
      </c>
      <c r="H59" s="121"/>
    </row>
    <row r="60" ht="15.75" customHeight="1">
      <c r="A60" s="121"/>
      <c r="B60" s="128" t="s">
        <v>286</v>
      </c>
      <c r="C60" s="129">
        <v>1443241.0</v>
      </c>
      <c r="D60" s="124" t="s">
        <v>295</v>
      </c>
      <c r="E60" s="125" t="s">
        <v>296</v>
      </c>
      <c r="F60" s="130">
        <v>8.0</v>
      </c>
      <c r="G60" s="131" t="s">
        <v>356</v>
      </c>
      <c r="H60" s="121"/>
    </row>
    <row r="61" ht="15.75" customHeight="1">
      <c r="A61" s="121"/>
      <c r="B61" s="128" t="s">
        <v>286</v>
      </c>
      <c r="C61" s="129">
        <v>1443244.0</v>
      </c>
      <c r="D61" s="124" t="s">
        <v>295</v>
      </c>
      <c r="E61" s="125" t="s">
        <v>296</v>
      </c>
      <c r="F61" s="130">
        <v>2.0</v>
      </c>
      <c r="G61" s="131" t="s">
        <v>357</v>
      </c>
      <c r="H61" s="121"/>
    </row>
    <row r="62" ht="15.75" customHeight="1">
      <c r="A62" s="121"/>
      <c r="B62" s="128" t="s">
        <v>302</v>
      </c>
      <c r="C62" s="129">
        <v>1443246.0</v>
      </c>
      <c r="D62" s="124" t="s">
        <v>295</v>
      </c>
      <c r="E62" s="125" t="s">
        <v>296</v>
      </c>
      <c r="F62" s="130">
        <v>2.0</v>
      </c>
      <c r="G62" s="131" t="s">
        <v>358</v>
      </c>
      <c r="H62" s="121"/>
    </row>
    <row r="63" ht="15.75" customHeight="1">
      <c r="A63" s="121"/>
      <c r="B63" s="128" t="s">
        <v>302</v>
      </c>
      <c r="C63" s="129">
        <v>1443247.0</v>
      </c>
      <c r="D63" s="124" t="s">
        <v>295</v>
      </c>
      <c r="E63" s="125" t="s">
        <v>296</v>
      </c>
      <c r="F63" s="130">
        <v>2.0</v>
      </c>
      <c r="G63" s="131" t="s">
        <v>359</v>
      </c>
      <c r="H63" s="121"/>
    </row>
    <row r="64" ht="15.75" customHeight="1">
      <c r="A64" s="121"/>
      <c r="B64" s="128" t="s">
        <v>286</v>
      </c>
      <c r="C64" s="129">
        <v>1447858.0</v>
      </c>
      <c r="D64" s="124" t="s">
        <v>295</v>
      </c>
      <c r="E64" s="125" t="s">
        <v>296</v>
      </c>
      <c r="F64" s="130">
        <v>5.0</v>
      </c>
      <c r="G64" s="131" t="s">
        <v>360</v>
      </c>
      <c r="H64" s="121"/>
    </row>
    <row r="65" ht="15.75" customHeight="1">
      <c r="A65" s="121"/>
      <c r="B65" s="128" t="s">
        <v>286</v>
      </c>
      <c r="C65" s="129">
        <v>1464955.0</v>
      </c>
      <c r="D65" s="124" t="s">
        <v>295</v>
      </c>
      <c r="E65" s="125" t="s">
        <v>296</v>
      </c>
      <c r="F65" s="130">
        <v>1.0</v>
      </c>
      <c r="G65" s="131" t="s">
        <v>361</v>
      </c>
      <c r="H65" s="121"/>
    </row>
    <row r="66" ht="15.75" customHeight="1">
      <c r="A66" s="121"/>
      <c r="B66" s="128" t="s">
        <v>286</v>
      </c>
      <c r="C66" s="129">
        <v>1473580.0</v>
      </c>
      <c r="D66" s="124" t="s">
        <v>295</v>
      </c>
      <c r="E66" s="125" t="s">
        <v>296</v>
      </c>
      <c r="F66" s="130">
        <v>1.0</v>
      </c>
      <c r="G66" s="131" t="s">
        <v>326</v>
      </c>
      <c r="H66" s="121"/>
    </row>
    <row r="67" ht="15.75" customHeight="1">
      <c r="A67" s="121"/>
      <c r="B67" s="128" t="s">
        <v>286</v>
      </c>
      <c r="C67" s="129">
        <v>1473581.0</v>
      </c>
      <c r="D67" s="124" t="s">
        <v>295</v>
      </c>
      <c r="E67" s="125" t="s">
        <v>296</v>
      </c>
      <c r="F67" s="130">
        <v>2.0</v>
      </c>
      <c r="G67" s="131" t="s">
        <v>362</v>
      </c>
      <c r="H67" s="121"/>
    </row>
    <row r="68" ht="15.75" customHeight="1">
      <c r="A68" s="121"/>
      <c r="B68" s="128" t="s">
        <v>286</v>
      </c>
      <c r="C68" s="129">
        <v>1473582.0</v>
      </c>
      <c r="D68" s="124" t="s">
        <v>295</v>
      </c>
      <c r="E68" s="125" t="s">
        <v>296</v>
      </c>
      <c r="F68" s="130">
        <v>2.0</v>
      </c>
      <c r="G68" s="131" t="s">
        <v>363</v>
      </c>
      <c r="H68" s="121"/>
    </row>
    <row r="69" ht="15.75" customHeight="1">
      <c r="A69" s="121"/>
      <c r="B69" s="128" t="s">
        <v>286</v>
      </c>
      <c r="C69" s="129">
        <v>1473583.0</v>
      </c>
      <c r="D69" s="124" t="s">
        <v>295</v>
      </c>
      <c r="E69" s="125" t="s">
        <v>296</v>
      </c>
      <c r="F69" s="130">
        <v>2.0</v>
      </c>
      <c r="G69" s="131" t="s">
        <v>364</v>
      </c>
      <c r="H69" s="121"/>
    </row>
    <row r="70" ht="15.75" customHeight="1">
      <c r="A70" s="121"/>
      <c r="B70" s="128" t="s">
        <v>286</v>
      </c>
      <c r="C70" s="129">
        <v>1473584.0</v>
      </c>
      <c r="D70" s="124" t="s">
        <v>295</v>
      </c>
      <c r="E70" s="125" t="s">
        <v>296</v>
      </c>
      <c r="F70" s="130">
        <v>2.0</v>
      </c>
      <c r="G70" s="131" t="s">
        <v>365</v>
      </c>
      <c r="H70" s="121"/>
    </row>
    <row r="71" ht="15.75" customHeight="1">
      <c r="A71" s="121"/>
      <c r="B71" s="128" t="s">
        <v>286</v>
      </c>
      <c r="C71" s="129">
        <v>1473587.0</v>
      </c>
      <c r="D71" s="124" t="s">
        <v>295</v>
      </c>
      <c r="E71" s="125" t="s">
        <v>296</v>
      </c>
      <c r="F71" s="130">
        <v>2.0</v>
      </c>
      <c r="G71" s="131" t="s">
        <v>366</v>
      </c>
      <c r="H71" s="121"/>
    </row>
    <row r="72" ht="15.75" customHeight="1">
      <c r="A72" s="121"/>
      <c r="B72" s="128" t="s">
        <v>286</v>
      </c>
      <c r="C72" s="129">
        <v>1473589.0</v>
      </c>
      <c r="D72" s="124" t="s">
        <v>295</v>
      </c>
      <c r="E72" s="125" t="s">
        <v>296</v>
      </c>
      <c r="F72" s="130">
        <v>1.0</v>
      </c>
      <c r="G72" s="131" t="s">
        <v>367</v>
      </c>
      <c r="H72" s="121"/>
    </row>
    <row r="73" ht="15.75" customHeight="1">
      <c r="A73" s="121"/>
      <c r="B73" s="128" t="s">
        <v>286</v>
      </c>
      <c r="C73" s="129">
        <v>1473590.0</v>
      </c>
      <c r="D73" s="124" t="s">
        <v>295</v>
      </c>
      <c r="E73" s="125" t="s">
        <v>296</v>
      </c>
      <c r="F73" s="130">
        <v>1.0</v>
      </c>
      <c r="G73" s="131" t="s">
        <v>368</v>
      </c>
      <c r="H73" s="121"/>
    </row>
    <row r="74" ht="15.75" customHeight="1">
      <c r="A74" s="121"/>
      <c r="B74" s="128" t="s">
        <v>286</v>
      </c>
      <c r="C74" s="129">
        <v>1473591.0</v>
      </c>
      <c r="D74" s="124" t="s">
        <v>295</v>
      </c>
      <c r="E74" s="125" t="s">
        <v>296</v>
      </c>
      <c r="F74" s="130">
        <v>1.0</v>
      </c>
      <c r="G74" s="131" t="s">
        <v>369</v>
      </c>
      <c r="H74" s="121"/>
    </row>
    <row r="75" ht="15.75" customHeight="1">
      <c r="A75" s="121"/>
      <c r="B75" s="128" t="s">
        <v>286</v>
      </c>
      <c r="C75" s="129">
        <v>1473593.0</v>
      </c>
      <c r="D75" s="124" t="s">
        <v>295</v>
      </c>
      <c r="E75" s="125" t="s">
        <v>296</v>
      </c>
      <c r="F75" s="130">
        <v>1.0</v>
      </c>
      <c r="G75" s="131" t="s">
        <v>370</v>
      </c>
      <c r="H75" s="121"/>
    </row>
    <row r="76" ht="15.75" customHeight="1">
      <c r="A76" s="121"/>
      <c r="B76" s="128" t="s">
        <v>286</v>
      </c>
      <c r="C76" s="129">
        <v>1473594.0</v>
      </c>
      <c r="D76" s="124" t="s">
        <v>295</v>
      </c>
      <c r="E76" s="125" t="s">
        <v>296</v>
      </c>
      <c r="F76" s="130">
        <v>1.0</v>
      </c>
      <c r="G76" s="131" t="s">
        <v>371</v>
      </c>
      <c r="H76" s="121"/>
    </row>
    <row r="77" ht="15.75" customHeight="1">
      <c r="A77" s="121"/>
      <c r="B77" s="128" t="s">
        <v>286</v>
      </c>
      <c r="C77" s="129">
        <v>1473595.0</v>
      </c>
      <c r="D77" s="124" t="s">
        <v>295</v>
      </c>
      <c r="E77" s="125" t="s">
        <v>296</v>
      </c>
      <c r="F77" s="130">
        <v>1.0</v>
      </c>
      <c r="G77" s="131" t="s">
        <v>372</v>
      </c>
      <c r="H77" s="121"/>
    </row>
    <row r="78" ht="15.75" customHeight="1">
      <c r="A78" s="121"/>
      <c r="B78" s="128" t="s">
        <v>286</v>
      </c>
      <c r="C78" s="129">
        <v>1473596.0</v>
      </c>
      <c r="D78" s="124" t="s">
        <v>295</v>
      </c>
      <c r="E78" s="125" t="s">
        <v>296</v>
      </c>
      <c r="F78" s="130">
        <v>1.0</v>
      </c>
      <c r="G78" s="131" t="s">
        <v>373</v>
      </c>
      <c r="H78" s="121"/>
    </row>
    <row r="79" ht="15.75" customHeight="1">
      <c r="A79" s="121"/>
      <c r="B79" s="128" t="s">
        <v>286</v>
      </c>
      <c r="C79" s="129">
        <v>1473597.0</v>
      </c>
      <c r="D79" s="124" t="s">
        <v>295</v>
      </c>
      <c r="E79" s="125" t="s">
        <v>296</v>
      </c>
      <c r="F79" s="130">
        <v>2.0</v>
      </c>
      <c r="G79" s="131" t="s">
        <v>374</v>
      </c>
      <c r="H79" s="121"/>
    </row>
    <row r="80" ht="15.75" customHeight="1">
      <c r="A80" s="121"/>
      <c r="B80" s="128" t="s">
        <v>286</v>
      </c>
      <c r="C80" s="129">
        <v>1473598.0</v>
      </c>
      <c r="D80" s="124" t="s">
        <v>295</v>
      </c>
      <c r="E80" s="125" t="s">
        <v>296</v>
      </c>
      <c r="F80" s="130">
        <v>1.0</v>
      </c>
      <c r="G80" s="131" t="s">
        <v>375</v>
      </c>
      <c r="H80" s="121"/>
    </row>
    <row r="81" ht="15.75" customHeight="1">
      <c r="A81" s="121"/>
      <c r="B81" s="128" t="s">
        <v>286</v>
      </c>
      <c r="C81" s="129">
        <v>1473600.0</v>
      </c>
      <c r="D81" s="124" t="s">
        <v>295</v>
      </c>
      <c r="E81" s="125" t="s">
        <v>296</v>
      </c>
      <c r="F81" s="130">
        <v>1.0</v>
      </c>
      <c r="G81" s="131" t="s">
        <v>376</v>
      </c>
      <c r="H81" s="121"/>
    </row>
    <row r="82" ht="15.75" customHeight="1">
      <c r="A82" s="121"/>
      <c r="B82" s="128" t="s">
        <v>286</v>
      </c>
      <c r="C82" s="129">
        <v>1473601.0</v>
      </c>
      <c r="D82" s="124" t="s">
        <v>295</v>
      </c>
      <c r="E82" s="125" t="s">
        <v>296</v>
      </c>
      <c r="F82" s="130">
        <v>1.0</v>
      </c>
      <c r="G82" s="131" t="s">
        <v>377</v>
      </c>
      <c r="H82" s="121"/>
    </row>
    <row r="83" ht="15.75" customHeight="1">
      <c r="A83" s="121"/>
      <c r="B83" s="128" t="s">
        <v>286</v>
      </c>
      <c r="C83" s="129">
        <v>1473602.0</v>
      </c>
      <c r="D83" s="124" t="s">
        <v>295</v>
      </c>
      <c r="E83" s="125" t="s">
        <v>296</v>
      </c>
      <c r="F83" s="130">
        <v>2.0</v>
      </c>
      <c r="G83" s="131" t="s">
        <v>378</v>
      </c>
      <c r="H83" s="121"/>
    </row>
    <row r="84" ht="15.75" customHeight="1">
      <c r="A84" s="121"/>
      <c r="B84" s="128" t="s">
        <v>286</v>
      </c>
      <c r="C84" s="129">
        <v>1473604.0</v>
      </c>
      <c r="D84" s="124" t="s">
        <v>295</v>
      </c>
      <c r="E84" s="125" t="s">
        <v>296</v>
      </c>
      <c r="F84" s="130">
        <v>2.0</v>
      </c>
      <c r="G84" s="131" t="s">
        <v>379</v>
      </c>
      <c r="H84" s="121"/>
    </row>
    <row r="85" ht="15.75" customHeight="1">
      <c r="A85" s="121"/>
      <c r="B85" s="128" t="s">
        <v>286</v>
      </c>
      <c r="C85" s="129">
        <v>1473605.0</v>
      </c>
      <c r="D85" s="124" t="s">
        <v>295</v>
      </c>
      <c r="E85" s="125" t="s">
        <v>296</v>
      </c>
      <c r="F85" s="130">
        <v>2.0</v>
      </c>
      <c r="G85" s="131" t="s">
        <v>380</v>
      </c>
      <c r="H85" s="121"/>
    </row>
    <row r="86" ht="15.75" customHeight="1">
      <c r="A86" s="121"/>
      <c r="B86" s="128" t="s">
        <v>286</v>
      </c>
      <c r="C86" s="129">
        <v>1473606.0</v>
      </c>
      <c r="D86" s="124" t="s">
        <v>295</v>
      </c>
      <c r="E86" s="125" t="s">
        <v>296</v>
      </c>
      <c r="F86" s="130">
        <v>1.0</v>
      </c>
      <c r="G86" s="131" t="s">
        <v>381</v>
      </c>
      <c r="H86" s="121"/>
    </row>
    <row r="87" ht="15.75" customHeight="1">
      <c r="A87" s="121"/>
      <c r="B87" s="128" t="s">
        <v>286</v>
      </c>
      <c r="C87" s="129">
        <v>1473609.0</v>
      </c>
      <c r="D87" s="124" t="s">
        <v>295</v>
      </c>
      <c r="E87" s="125" t="s">
        <v>296</v>
      </c>
      <c r="F87" s="130">
        <v>1.0</v>
      </c>
      <c r="G87" s="131" t="s">
        <v>382</v>
      </c>
      <c r="H87" s="121"/>
    </row>
    <row r="88" ht="15.75" customHeight="1">
      <c r="A88" s="121"/>
      <c r="B88" s="128" t="s">
        <v>286</v>
      </c>
      <c r="C88" s="129">
        <v>1473611.0</v>
      </c>
      <c r="D88" s="124" t="s">
        <v>295</v>
      </c>
      <c r="E88" s="125" t="s">
        <v>296</v>
      </c>
      <c r="F88" s="130">
        <v>4.0</v>
      </c>
      <c r="G88" s="131" t="s">
        <v>383</v>
      </c>
      <c r="H88" s="121"/>
    </row>
    <row r="89" ht="15.75" customHeight="1">
      <c r="A89" s="121"/>
      <c r="B89" s="128" t="s">
        <v>286</v>
      </c>
      <c r="C89" s="129">
        <v>1473612.0</v>
      </c>
      <c r="D89" s="124" t="s">
        <v>295</v>
      </c>
      <c r="E89" s="125" t="s">
        <v>296</v>
      </c>
      <c r="F89" s="130">
        <v>3.0</v>
      </c>
      <c r="G89" s="131" t="s">
        <v>384</v>
      </c>
      <c r="H89" s="121"/>
    </row>
    <row r="90" ht="15.75" customHeight="1">
      <c r="A90" s="121"/>
      <c r="B90" s="128" t="s">
        <v>286</v>
      </c>
      <c r="C90" s="129">
        <v>1473613.0</v>
      </c>
      <c r="D90" s="124" t="s">
        <v>295</v>
      </c>
      <c r="E90" s="125" t="s">
        <v>296</v>
      </c>
      <c r="F90" s="130">
        <v>2.0</v>
      </c>
      <c r="G90" s="131" t="s">
        <v>385</v>
      </c>
      <c r="H90" s="121"/>
    </row>
    <row r="91" ht="15.75" customHeight="1">
      <c r="A91" s="121"/>
      <c r="B91" s="128" t="s">
        <v>286</v>
      </c>
      <c r="C91" s="129">
        <v>1473614.0</v>
      </c>
      <c r="D91" s="124" t="s">
        <v>295</v>
      </c>
      <c r="E91" s="125" t="s">
        <v>296</v>
      </c>
      <c r="F91" s="130">
        <v>3.0</v>
      </c>
      <c r="G91" s="131" t="s">
        <v>386</v>
      </c>
      <c r="H91" s="121"/>
    </row>
    <row r="92" ht="15.75" customHeight="1">
      <c r="A92" s="121"/>
      <c r="B92" s="128" t="s">
        <v>286</v>
      </c>
      <c r="C92" s="129">
        <v>1473616.0</v>
      </c>
      <c r="D92" s="124" t="s">
        <v>295</v>
      </c>
      <c r="E92" s="125" t="s">
        <v>296</v>
      </c>
      <c r="F92" s="130">
        <v>3.0</v>
      </c>
      <c r="G92" s="131" t="s">
        <v>387</v>
      </c>
      <c r="H92" s="121"/>
    </row>
    <row r="93" ht="15.75" customHeight="1">
      <c r="A93" s="121"/>
      <c r="B93" s="128" t="s">
        <v>286</v>
      </c>
      <c r="C93" s="129">
        <v>1473619.0</v>
      </c>
      <c r="D93" s="124" t="s">
        <v>295</v>
      </c>
      <c r="E93" s="125" t="s">
        <v>296</v>
      </c>
      <c r="F93" s="130">
        <v>4.0</v>
      </c>
      <c r="G93" s="131" t="s">
        <v>388</v>
      </c>
      <c r="H93" s="121"/>
    </row>
    <row r="94" ht="15.75" customHeight="1">
      <c r="A94" s="121"/>
      <c r="B94" s="132" t="s">
        <v>286</v>
      </c>
      <c r="C94" s="133">
        <v>1473621.0</v>
      </c>
      <c r="D94" s="124" t="s">
        <v>295</v>
      </c>
      <c r="E94" s="125" t="s">
        <v>296</v>
      </c>
      <c r="F94" s="134">
        <v>3.0</v>
      </c>
      <c r="G94" s="135" t="s">
        <v>389</v>
      </c>
      <c r="H94" s="121"/>
    </row>
    <row r="95" ht="15.75" customHeight="1">
      <c r="A95" s="121"/>
      <c r="B95" s="128" t="s">
        <v>286</v>
      </c>
      <c r="C95" s="129">
        <v>1693522.0</v>
      </c>
      <c r="D95" s="124" t="s">
        <v>295</v>
      </c>
      <c r="E95" s="125" t="s">
        <v>296</v>
      </c>
      <c r="F95" s="130">
        <v>1.0</v>
      </c>
      <c r="G95" s="131" t="s">
        <v>390</v>
      </c>
      <c r="H95" s="121"/>
    </row>
    <row r="96" ht="15.75" customHeight="1">
      <c r="A96" s="121"/>
      <c r="B96" s="128" t="s">
        <v>286</v>
      </c>
      <c r="C96" s="129">
        <v>1693525.0</v>
      </c>
      <c r="D96" s="124" t="s">
        <v>295</v>
      </c>
      <c r="E96" s="125" t="s">
        <v>296</v>
      </c>
      <c r="F96" s="130">
        <v>2.0</v>
      </c>
      <c r="G96" s="131" t="s">
        <v>391</v>
      </c>
      <c r="H96" s="121"/>
    </row>
    <row r="97" ht="15.75" customHeight="1">
      <c r="A97" s="121"/>
      <c r="B97" s="128" t="s">
        <v>286</v>
      </c>
      <c r="C97" s="129">
        <v>1693526.0</v>
      </c>
      <c r="D97" s="124" t="s">
        <v>295</v>
      </c>
      <c r="E97" s="125" t="s">
        <v>296</v>
      </c>
      <c r="F97" s="130">
        <v>2.0</v>
      </c>
      <c r="G97" s="131" t="s">
        <v>392</v>
      </c>
      <c r="H97" s="121"/>
    </row>
    <row r="98" ht="15.75" customHeight="1">
      <c r="A98" s="121"/>
      <c r="B98" s="128" t="s">
        <v>286</v>
      </c>
      <c r="C98" s="129">
        <v>1693532.0</v>
      </c>
      <c r="D98" s="124" t="s">
        <v>295</v>
      </c>
      <c r="E98" s="125" t="s">
        <v>296</v>
      </c>
      <c r="F98" s="130">
        <v>2.0</v>
      </c>
      <c r="G98" s="131" t="s">
        <v>393</v>
      </c>
      <c r="H98" s="121"/>
    </row>
    <row r="99" ht="15.75" customHeight="1">
      <c r="A99" s="121"/>
      <c r="B99" s="128" t="s">
        <v>286</v>
      </c>
      <c r="C99" s="129">
        <v>1693533.0</v>
      </c>
      <c r="D99" s="124" t="s">
        <v>295</v>
      </c>
      <c r="E99" s="125" t="s">
        <v>296</v>
      </c>
      <c r="F99" s="130">
        <v>2.0</v>
      </c>
      <c r="G99" s="131" t="s">
        <v>394</v>
      </c>
      <c r="H99" s="121"/>
    </row>
    <row r="100" ht="15.75" customHeight="1">
      <c r="A100" s="121"/>
      <c r="B100" s="132" t="s">
        <v>286</v>
      </c>
      <c r="C100" s="133">
        <v>1693535.0</v>
      </c>
      <c r="D100" s="124" t="s">
        <v>295</v>
      </c>
      <c r="E100" s="125" t="s">
        <v>296</v>
      </c>
      <c r="F100" s="134">
        <v>2.0</v>
      </c>
      <c r="G100" s="135" t="s">
        <v>395</v>
      </c>
      <c r="H100" s="121"/>
    </row>
    <row r="101" ht="15.75" customHeight="1">
      <c r="A101" s="137"/>
      <c r="B101" s="138"/>
      <c r="C101" s="139"/>
      <c r="D101" s="140"/>
      <c r="E101" s="141"/>
      <c r="F101" s="139"/>
      <c r="G101" s="142"/>
      <c r="H101" s="137"/>
    </row>
  </sheetData>
  <autoFilter ref="$B$1:$G$100"/>
  <mergeCells count="1">
    <mergeCell ref="F1:G1"/>
  </mergeCells>
  <conditionalFormatting sqref="B2:B100">
    <cfRule type="cellIs" dxfId="6" priority="1" operator="equal">
      <formula>"DOC"</formula>
    </cfRule>
  </conditionalFormatting>
  <conditionalFormatting sqref="C1:C101">
    <cfRule type="expression" dxfId="7" priority="2">
      <formula>$D1="DESCARREGADO"</formula>
    </cfRule>
  </conditionalFormatting>
  <conditionalFormatting sqref="E1">
    <cfRule type="expression" dxfId="8" priority="3">
      <formula>#REF!="DESCARREGADO"</formula>
    </cfRule>
  </conditionalFormatting>
  <conditionalFormatting sqref="E2:E100">
    <cfRule type="expression" dxfId="8" priority="4">
      <formula>$D2="DESCARREGADO"</formula>
    </cfRule>
  </conditionalFormatting>
  <conditionalFormatting sqref="F1:G101">
    <cfRule type="expression" dxfId="7" priority="5">
      <formula>$D1="DESCARREGADO"</formula>
    </cfRule>
  </conditionalFormatting>
  <dataValidations>
    <dataValidation type="list" allowBlank="1" showErrorMessage="1" sqref="B2:B100">
      <formula1>"EMPRES.,DOC,RESERVA,ARMAZ.,COFRE,SECRETARIA,CHEFE EQUIPE,SALA AULA,REFEITÓRIO,ALOJ. CB/SD,QUART. MOT.,QUART. EQ SVÇ,ALOJ. SGT,ALOJ. FEM.,COZINHA,HALL,PAJÉ,TORRE,MANUTENÇÃO,PATRIM.,GARAGEM,OREI DEP.,DEPÓSITO,GALPÃO,F 01,F 02,F 06,F 08,F 09,F 10,F 11,F 12"</formula1>
    </dataValidation>
  </dataValidations>
  <printOptions/>
  <pageMargins bottom="1.05277777777778" footer="0.0" header="0.0" left="0.7875" right="0.7875" top="1.05277777777778"/>
  <pageSetup paperSize="9" orientation="portrait"/>
  <headerFooter>
    <oddHeader>&amp;Cffffff&amp;A</oddHeader>
    <oddFooter>&amp;CffffffPágina &amp;P</oddFooter>
  </headerFooter>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2.0"/>
    <col customWidth="1" min="2" max="2" width="16.75"/>
    <col customWidth="1" min="3" max="3" width="15.0"/>
    <col customWidth="1" min="4" max="4" width="20.88"/>
    <col customWidth="1" min="5" max="5" width="15.0"/>
    <col customWidth="1" min="6" max="6" width="92.63"/>
    <col customWidth="1" min="7" max="7" width="2.63"/>
  </cols>
  <sheetData>
    <row r="1" ht="29.25" customHeight="1">
      <c r="A1" s="143"/>
      <c r="B1" s="144" t="s">
        <v>290</v>
      </c>
      <c r="C1" s="144" t="s">
        <v>291</v>
      </c>
      <c r="D1" s="144" t="s">
        <v>292</v>
      </c>
      <c r="E1" s="145" t="s">
        <v>293</v>
      </c>
      <c r="F1" s="146" t="s">
        <v>396</v>
      </c>
      <c r="G1" s="147"/>
    </row>
    <row r="2" ht="15.75" customHeight="1">
      <c r="A2" s="148"/>
      <c r="B2" s="132" t="s">
        <v>322</v>
      </c>
      <c r="C2" s="133">
        <v>938082.0</v>
      </c>
      <c r="D2" s="149" t="s">
        <v>397</v>
      </c>
      <c r="E2" s="150" t="s">
        <v>398</v>
      </c>
      <c r="F2" s="151" t="s">
        <v>399</v>
      </c>
      <c r="G2" s="148"/>
    </row>
    <row r="3" ht="15.75" customHeight="1">
      <c r="A3" s="148"/>
      <c r="B3" s="132" t="s">
        <v>322</v>
      </c>
      <c r="C3" s="133">
        <v>938083.0</v>
      </c>
      <c r="D3" s="149" t="s">
        <v>397</v>
      </c>
      <c r="E3" s="150" t="s">
        <v>398</v>
      </c>
      <c r="F3" s="151" t="s">
        <v>400</v>
      </c>
      <c r="G3" s="148"/>
    </row>
    <row r="4" ht="15.75" customHeight="1">
      <c r="A4" s="148"/>
      <c r="B4" s="132" t="s">
        <v>322</v>
      </c>
      <c r="C4" s="133">
        <v>938084.0</v>
      </c>
      <c r="D4" s="149" t="s">
        <v>397</v>
      </c>
      <c r="E4" s="150" t="s">
        <v>398</v>
      </c>
      <c r="F4" s="151" t="s">
        <v>401</v>
      </c>
      <c r="G4" s="148"/>
    </row>
    <row r="5" ht="15.75" customHeight="1">
      <c r="A5" s="148"/>
      <c r="B5" s="132" t="s">
        <v>322</v>
      </c>
      <c r="C5" s="133">
        <v>938085.0</v>
      </c>
      <c r="D5" s="149" t="s">
        <v>397</v>
      </c>
      <c r="E5" s="150" t="s">
        <v>398</v>
      </c>
      <c r="F5" s="151" t="s">
        <v>402</v>
      </c>
      <c r="G5" s="148"/>
    </row>
    <row r="6" ht="15.75" customHeight="1">
      <c r="A6" s="148"/>
      <c r="B6" s="132" t="s">
        <v>322</v>
      </c>
      <c r="C6" s="133">
        <v>938086.0</v>
      </c>
      <c r="D6" s="149" t="s">
        <v>397</v>
      </c>
      <c r="E6" s="150" t="s">
        <v>398</v>
      </c>
      <c r="F6" s="151" t="s">
        <v>403</v>
      </c>
      <c r="G6" s="148"/>
    </row>
    <row r="7" ht="15.75" customHeight="1">
      <c r="A7" s="148"/>
      <c r="B7" s="132" t="s">
        <v>322</v>
      </c>
      <c r="C7" s="133">
        <v>938087.0</v>
      </c>
      <c r="D7" s="149" t="s">
        <v>397</v>
      </c>
      <c r="E7" s="150" t="s">
        <v>398</v>
      </c>
      <c r="F7" s="151" t="s">
        <v>404</v>
      </c>
      <c r="G7" s="148"/>
    </row>
    <row r="8" ht="15.75" customHeight="1">
      <c r="A8" s="148"/>
      <c r="B8" s="132" t="s">
        <v>322</v>
      </c>
      <c r="C8" s="133">
        <v>938088.0</v>
      </c>
      <c r="D8" s="149" t="s">
        <v>397</v>
      </c>
      <c r="E8" s="150" t="s">
        <v>398</v>
      </c>
      <c r="F8" s="151" t="s">
        <v>405</v>
      </c>
      <c r="G8" s="148"/>
    </row>
    <row r="9" ht="15.75" customHeight="1">
      <c r="A9" s="148"/>
      <c r="B9" s="132" t="s">
        <v>322</v>
      </c>
      <c r="C9" s="133">
        <v>938089.0</v>
      </c>
      <c r="D9" s="149" t="s">
        <v>397</v>
      </c>
      <c r="E9" s="150" t="s">
        <v>398</v>
      </c>
      <c r="F9" s="151" t="s">
        <v>406</v>
      </c>
      <c r="G9" s="148"/>
    </row>
    <row r="10" ht="15.75" customHeight="1">
      <c r="A10" s="148"/>
      <c r="B10" s="132" t="s">
        <v>322</v>
      </c>
      <c r="C10" s="133">
        <v>938090.0</v>
      </c>
      <c r="D10" s="149" t="s">
        <v>397</v>
      </c>
      <c r="E10" s="150" t="s">
        <v>398</v>
      </c>
      <c r="F10" s="151" t="s">
        <v>407</v>
      </c>
      <c r="G10" s="148"/>
    </row>
    <row r="11" ht="15.75" customHeight="1">
      <c r="A11" s="148"/>
      <c r="B11" s="132" t="s">
        <v>322</v>
      </c>
      <c r="C11" s="133">
        <v>938091.0</v>
      </c>
      <c r="D11" s="149" t="s">
        <v>397</v>
      </c>
      <c r="E11" s="150" t="s">
        <v>398</v>
      </c>
      <c r="F11" s="151" t="s">
        <v>408</v>
      </c>
      <c r="G11" s="148"/>
    </row>
    <row r="12" ht="15.75" customHeight="1">
      <c r="A12" s="148"/>
      <c r="B12" s="132" t="s">
        <v>322</v>
      </c>
      <c r="C12" s="133">
        <v>938092.0</v>
      </c>
      <c r="D12" s="149" t="s">
        <v>397</v>
      </c>
      <c r="E12" s="150" t="s">
        <v>398</v>
      </c>
      <c r="F12" s="151" t="s">
        <v>409</v>
      </c>
      <c r="G12" s="148"/>
    </row>
    <row r="13" ht="15.75" customHeight="1">
      <c r="A13" s="148"/>
      <c r="B13" s="132" t="s">
        <v>322</v>
      </c>
      <c r="C13" s="133">
        <v>938093.0</v>
      </c>
      <c r="D13" s="149" t="s">
        <v>397</v>
      </c>
      <c r="E13" s="150" t="s">
        <v>398</v>
      </c>
      <c r="F13" s="151" t="s">
        <v>410</v>
      </c>
      <c r="G13" s="148"/>
    </row>
    <row r="14" ht="15.75" customHeight="1">
      <c r="A14" s="148"/>
      <c r="B14" s="132" t="s">
        <v>322</v>
      </c>
      <c r="C14" s="133">
        <v>938094.0</v>
      </c>
      <c r="D14" s="149" t="s">
        <v>397</v>
      </c>
      <c r="E14" s="150" t="s">
        <v>398</v>
      </c>
      <c r="F14" s="151" t="s">
        <v>411</v>
      </c>
      <c r="G14" s="148"/>
    </row>
    <row r="15" ht="15.75" customHeight="1">
      <c r="A15" s="148"/>
      <c r="B15" s="132" t="s">
        <v>322</v>
      </c>
      <c r="C15" s="133">
        <v>938095.0</v>
      </c>
      <c r="D15" s="149" t="s">
        <v>397</v>
      </c>
      <c r="E15" s="150" t="s">
        <v>398</v>
      </c>
      <c r="F15" s="151" t="s">
        <v>412</v>
      </c>
      <c r="G15" s="148"/>
    </row>
    <row r="16" ht="15.75" customHeight="1">
      <c r="A16" s="148"/>
      <c r="B16" s="132" t="s">
        <v>322</v>
      </c>
      <c r="C16" s="133">
        <v>938096.0</v>
      </c>
      <c r="D16" s="149" t="s">
        <v>397</v>
      </c>
      <c r="E16" s="150" t="s">
        <v>398</v>
      </c>
      <c r="F16" s="151" t="s">
        <v>413</v>
      </c>
      <c r="G16" s="148"/>
    </row>
    <row r="17" ht="15.75" customHeight="1">
      <c r="A17" s="148"/>
      <c r="B17" s="132" t="s">
        <v>322</v>
      </c>
      <c r="C17" s="133">
        <v>938097.0</v>
      </c>
      <c r="D17" s="149" t="s">
        <v>397</v>
      </c>
      <c r="E17" s="150" t="s">
        <v>398</v>
      </c>
      <c r="F17" s="151" t="s">
        <v>414</v>
      </c>
      <c r="G17" s="148"/>
    </row>
    <row r="18" ht="15.75" customHeight="1">
      <c r="A18" s="148"/>
      <c r="B18" s="132" t="s">
        <v>322</v>
      </c>
      <c r="C18" s="133">
        <v>938098.0</v>
      </c>
      <c r="D18" s="149" t="s">
        <v>397</v>
      </c>
      <c r="E18" s="150" t="s">
        <v>398</v>
      </c>
      <c r="F18" s="151" t="s">
        <v>415</v>
      </c>
      <c r="G18" s="148"/>
    </row>
    <row r="19" ht="15.75" customHeight="1">
      <c r="A19" s="148"/>
      <c r="B19" s="132" t="s">
        <v>322</v>
      </c>
      <c r="C19" s="133">
        <v>938099.0</v>
      </c>
      <c r="D19" s="149" t="s">
        <v>397</v>
      </c>
      <c r="E19" s="150" t="s">
        <v>398</v>
      </c>
      <c r="F19" s="151" t="s">
        <v>416</v>
      </c>
      <c r="G19" s="148"/>
    </row>
    <row r="20" ht="15.75" customHeight="1">
      <c r="A20" s="148"/>
      <c r="B20" s="132" t="s">
        <v>322</v>
      </c>
      <c r="C20" s="133">
        <v>938100.0</v>
      </c>
      <c r="D20" s="149" t="s">
        <v>397</v>
      </c>
      <c r="E20" s="150" t="s">
        <v>398</v>
      </c>
      <c r="F20" s="151" t="s">
        <v>417</v>
      </c>
      <c r="G20" s="148"/>
    </row>
    <row r="21" ht="15.75" customHeight="1">
      <c r="A21" s="148"/>
      <c r="B21" s="132" t="s">
        <v>322</v>
      </c>
      <c r="C21" s="133">
        <v>938101.0</v>
      </c>
      <c r="D21" s="149" t="s">
        <v>397</v>
      </c>
      <c r="E21" s="150" t="s">
        <v>398</v>
      </c>
      <c r="F21" s="151" t="s">
        <v>418</v>
      </c>
      <c r="G21" s="148"/>
    </row>
    <row r="22" ht="15.75" customHeight="1">
      <c r="A22" s="148"/>
      <c r="B22" s="132" t="s">
        <v>322</v>
      </c>
      <c r="C22" s="133">
        <v>938102.0</v>
      </c>
      <c r="D22" s="149" t="s">
        <v>397</v>
      </c>
      <c r="E22" s="150" t="s">
        <v>398</v>
      </c>
      <c r="F22" s="151" t="s">
        <v>419</v>
      </c>
      <c r="G22" s="148"/>
    </row>
    <row r="23" ht="15.75" customHeight="1">
      <c r="A23" s="148"/>
      <c r="B23" s="132" t="s">
        <v>322</v>
      </c>
      <c r="C23" s="133">
        <v>938103.0</v>
      </c>
      <c r="D23" s="149" t="s">
        <v>397</v>
      </c>
      <c r="E23" s="150" t="s">
        <v>398</v>
      </c>
      <c r="F23" s="151" t="s">
        <v>420</v>
      </c>
      <c r="G23" s="148"/>
    </row>
    <row r="24" ht="15.75" customHeight="1">
      <c r="A24" s="148"/>
      <c r="B24" s="132" t="s">
        <v>322</v>
      </c>
      <c r="C24" s="133">
        <v>938104.0</v>
      </c>
      <c r="D24" s="149" t="s">
        <v>397</v>
      </c>
      <c r="E24" s="150" t="s">
        <v>398</v>
      </c>
      <c r="F24" s="151" t="s">
        <v>421</v>
      </c>
      <c r="G24" s="148"/>
    </row>
    <row r="25" ht="15.75" customHeight="1">
      <c r="A25" s="148"/>
      <c r="B25" s="132" t="s">
        <v>322</v>
      </c>
      <c r="C25" s="133">
        <v>938105.0</v>
      </c>
      <c r="D25" s="149" t="s">
        <v>397</v>
      </c>
      <c r="E25" s="150" t="s">
        <v>398</v>
      </c>
      <c r="F25" s="151" t="s">
        <v>422</v>
      </c>
      <c r="G25" s="148"/>
    </row>
    <row r="26" ht="15.75" customHeight="1">
      <c r="A26" s="148"/>
      <c r="B26" s="132" t="s">
        <v>322</v>
      </c>
      <c r="C26" s="133">
        <v>938106.0</v>
      </c>
      <c r="D26" s="149" t="s">
        <v>397</v>
      </c>
      <c r="E26" s="150" t="s">
        <v>398</v>
      </c>
      <c r="F26" s="151" t="s">
        <v>423</v>
      </c>
      <c r="G26" s="148"/>
    </row>
    <row r="27" ht="15.75" customHeight="1">
      <c r="A27" s="148"/>
      <c r="B27" s="132" t="s">
        <v>322</v>
      </c>
      <c r="C27" s="133">
        <v>938107.0</v>
      </c>
      <c r="D27" s="149" t="s">
        <v>397</v>
      </c>
      <c r="E27" s="150" t="s">
        <v>398</v>
      </c>
      <c r="F27" s="151" t="s">
        <v>424</v>
      </c>
      <c r="G27" s="148"/>
    </row>
    <row r="28" ht="15.75" customHeight="1">
      <c r="A28" s="148"/>
      <c r="B28" s="132" t="s">
        <v>322</v>
      </c>
      <c r="C28" s="133">
        <v>938425.0</v>
      </c>
      <c r="D28" s="149" t="s">
        <v>397</v>
      </c>
      <c r="E28" s="150" t="s">
        <v>398</v>
      </c>
      <c r="F28" s="151" t="s">
        <v>425</v>
      </c>
      <c r="G28" s="148"/>
    </row>
    <row r="29" ht="15.75" customHeight="1">
      <c r="A29" s="148"/>
      <c r="B29" s="132" t="s">
        <v>322</v>
      </c>
      <c r="C29" s="133">
        <v>938426.0</v>
      </c>
      <c r="D29" s="149" t="s">
        <v>397</v>
      </c>
      <c r="E29" s="150" t="s">
        <v>398</v>
      </c>
      <c r="F29" s="151" t="s">
        <v>426</v>
      </c>
      <c r="G29" s="148"/>
    </row>
    <row r="30" ht="15.75" customHeight="1">
      <c r="A30" s="148"/>
      <c r="B30" s="132" t="s">
        <v>322</v>
      </c>
      <c r="C30" s="133">
        <v>938427.0</v>
      </c>
      <c r="D30" s="149" t="s">
        <v>397</v>
      </c>
      <c r="E30" s="150" t="s">
        <v>398</v>
      </c>
      <c r="F30" s="151" t="s">
        <v>427</v>
      </c>
      <c r="G30" s="148"/>
    </row>
    <row r="31" ht="15.75" customHeight="1">
      <c r="A31" s="148"/>
      <c r="B31" s="132" t="s">
        <v>322</v>
      </c>
      <c r="C31" s="133">
        <v>938428.0</v>
      </c>
      <c r="D31" s="149" t="s">
        <v>397</v>
      </c>
      <c r="E31" s="150" t="s">
        <v>398</v>
      </c>
      <c r="F31" s="151" t="s">
        <v>428</v>
      </c>
      <c r="G31" s="148"/>
    </row>
    <row r="32" ht="15.75" customHeight="1">
      <c r="A32" s="148"/>
      <c r="B32" s="132" t="s">
        <v>322</v>
      </c>
      <c r="C32" s="133">
        <v>938429.0</v>
      </c>
      <c r="D32" s="149" t="s">
        <v>397</v>
      </c>
      <c r="E32" s="150" t="s">
        <v>398</v>
      </c>
      <c r="F32" s="151" t="s">
        <v>429</v>
      </c>
      <c r="G32" s="148"/>
    </row>
    <row r="33" ht="15.75" customHeight="1">
      <c r="A33" s="148"/>
      <c r="B33" s="132" t="s">
        <v>322</v>
      </c>
      <c r="C33" s="133">
        <v>938430.0</v>
      </c>
      <c r="D33" s="149" t="s">
        <v>397</v>
      </c>
      <c r="E33" s="150" t="s">
        <v>398</v>
      </c>
      <c r="F33" s="151" t="s">
        <v>430</v>
      </c>
      <c r="G33" s="148"/>
    </row>
    <row r="34" ht="15.75" customHeight="1">
      <c r="A34" s="148"/>
      <c r="B34" s="132" t="s">
        <v>322</v>
      </c>
      <c r="C34" s="133">
        <v>938431.0</v>
      </c>
      <c r="D34" s="149" t="s">
        <v>397</v>
      </c>
      <c r="E34" s="150" t="s">
        <v>398</v>
      </c>
      <c r="F34" s="151" t="s">
        <v>431</v>
      </c>
      <c r="G34" s="148"/>
    </row>
    <row r="35" ht="15.75" customHeight="1">
      <c r="A35" s="148"/>
      <c r="B35" s="132" t="s">
        <v>322</v>
      </c>
      <c r="C35" s="133">
        <v>938432.0</v>
      </c>
      <c r="D35" s="149" t="s">
        <v>397</v>
      </c>
      <c r="E35" s="150" t="s">
        <v>398</v>
      </c>
      <c r="F35" s="151" t="s">
        <v>432</v>
      </c>
      <c r="G35" s="148"/>
    </row>
    <row r="36" ht="15.75" customHeight="1">
      <c r="A36" s="148"/>
      <c r="B36" s="132" t="s">
        <v>322</v>
      </c>
      <c r="C36" s="133">
        <v>938433.0</v>
      </c>
      <c r="D36" s="149" t="s">
        <v>397</v>
      </c>
      <c r="E36" s="150" t="s">
        <v>398</v>
      </c>
      <c r="F36" s="151" t="s">
        <v>433</v>
      </c>
      <c r="G36" s="148"/>
    </row>
    <row r="37" ht="15.75" customHeight="1">
      <c r="A37" s="148"/>
      <c r="B37" s="132" t="s">
        <v>322</v>
      </c>
      <c r="C37" s="133">
        <v>938434.0</v>
      </c>
      <c r="D37" s="149" t="s">
        <v>397</v>
      </c>
      <c r="E37" s="150" t="s">
        <v>398</v>
      </c>
      <c r="F37" s="151" t="s">
        <v>434</v>
      </c>
      <c r="G37" s="148"/>
    </row>
    <row r="38" ht="15.75" customHeight="1">
      <c r="A38" s="148"/>
      <c r="B38" s="132" t="s">
        <v>322</v>
      </c>
      <c r="C38" s="133">
        <v>938435.0</v>
      </c>
      <c r="D38" s="149" t="s">
        <v>397</v>
      </c>
      <c r="E38" s="150" t="s">
        <v>398</v>
      </c>
      <c r="F38" s="151" t="s">
        <v>435</v>
      </c>
      <c r="G38" s="148"/>
    </row>
    <row r="39" ht="15.75" customHeight="1">
      <c r="A39" s="148"/>
      <c r="B39" s="132" t="s">
        <v>322</v>
      </c>
      <c r="C39" s="133">
        <v>938436.0</v>
      </c>
      <c r="D39" s="149" t="s">
        <v>397</v>
      </c>
      <c r="E39" s="150" t="s">
        <v>398</v>
      </c>
      <c r="F39" s="151" t="s">
        <v>436</v>
      </c>
      <c r="G39" s="148"/>
    </row>
    <row r="40" ht="15.75" customHeight="1">
      <c r="A40" s="148"/>
      <c r="B40" s="132" t="s">
        <v>322</v>
      </c>
      <c r="C40" s="133">
        <v>938437.0</v>
      </c>
      <c r="D40" s="149" t="s">
        <v>397</v>
      </c>
      <c r="E40" s="150" t="s">
        <v>398</v>
      </c>
      <c r="F40" s="151" t="s">
        <v>437</v>
      </c>
      <c r="G40" s="148"/>
    </row>
    <row r="41" ht="15.75" customHeight="1">
      <c r="A41" s="148"/>
      <c r="B41" s="132" t="s">
        <v>322</v>
      </c>
      <c r="C41" s="133">
        <v>938438.0</v>
      </c>
      <c r="D41" s="149" t="s">
        <v>397</v>
      </c>
      <c r="E41" s="150" t="s">
        <v>398</v>
      </c>
      <c r="F41" s="151" t="s">
        <v>438</v>
      </c>
      <c r="G41" s="148"/>
    </row>
    <row r="42" ht="15.75" customHeight="1">
      <c r="A42" s="148"/>
      <c r="B42" s="132" t="s">
        <v>322</v>
      </c>
      <c r="C42" s="133">
        <v>938439.0</v>
      </c>
      <c r="D42" s="149" t="s">
        <v>397</v>
      </c>
      <c r="E42" s="150" t="s">
        <v>398</v>
      </c>
      <c r="F42" s="151" t="s">
        <v>439</v>
      </c>
      <c r="G42" s="148"/>
    </row>
    <row r="43" ht="15.75" customHeight="1">
      <c r="A43" s="148"/>
      <c r="B43" s="132" t="s">
        <v>322</v>
      </c>
      <c r="C43" s="133">
        <v>938440.0</v>
      </c>
      <c r="D43" s="149" t="s">
        <v>397</v>
      </c>
      <c r="E43" s="150" t="s">
        <v>398</v>
      </c>
      <c r="F43" s="151" t="s">
        <v>440</v>
      </c>
      <c r="G43" s="148"/>
    </row>
    <row r="44" ht="15.75" customHeight="1">
      <c r="A44" s="148"/>
      <c r="B44" s="132" t="s">
        <v>322</v>
      </c>
      <c r="C44" s="133">
        <v>938441.0</v>
      </c>
      <c r="D44" s="149" t="s">
        <v>397</v>
      </c>
      <c r="E44" s="150" t="s">
        <v>398</v>
      </c>
      <c r="F44" s="151" t="s">
        <v>441</v>
      </c>
      <c r="G44" s="148"/>
    </row>
    <row r="45" ht="15.75" customHeight="1">
      <c r="A45" s="148"/>
      <c r="B45" s="132" t="s">
        <v>322</v>
      </c>
      <c r="C45" s="133">
        <v>938442.0</v>
      </c>
      <c r="D45" s="149" t="s">
        <v>397</v>
      </c>
      <c r="E45" s="150" t="s">
        <v>398</v>
      </c>
      <c r="F45" s="151" t="s">
        <v>442</v>
      </c>
      <c r="G45" s="148"/>
    </row>
    <row r="46" ht="15.75" customHeight="1">
      <c r="A46" s="148"/>
      <c r="B46" s="132" t="s">
        <v>322</v>
      </c>
      <c r="C46" s="133">
        <v>938443.0</v>
      </c>
      <c r="D46" s="149" t="s">
        <v>397</v>
      </c>
      <c r="E46" s="150" t="s">
        <v>398</v>
      </c>
      <c r="F46" s="151" t="s">
        <v>443</v>
      </c>
      <c r="G46" s="148"/>
    </row>
    <row r="47" ht="15.75" customHeight="1">
      <c r="A47" s="148"/>
      <c r="B47" s="132" t="s">
        <v>322</v>
      </c>
      <c r="C47" s="133">
        <v>938444.0</v>
      </c>
      <c r="D47" s="149" t="s">
        <v>397</v>
      </c>
      <c r="E47" s="150" t="s">
        <v>398</v>
      </c>
      <c r="F47" s="151" t="s">
        <v>444</v>
      </c>
      <c r="G47" s="148"/>
    </row>
    <row r="48" ht="15.75" customHeight="1">
      <c r="A48" s="148"/>
      <c r="B48" s="132" t="s">
        <v>322</v>
      </c>
      <c r="C48" s="133">
        <v>938445.0</v>
      </c>
      <c r="D48" s="149" t="s">
        <v>397</v>
      </c>
      <c r="E48" s="150" t="s">
        <v>398</v>
      </c>
      <c r="F48" s="151" t="s">
        <v>445</v>
      </c>
      <c r="G48" s="148"/>
    </row>
    <row r="49" ht="15.75" customHeight="1">
      <c r="A49" s="148"/>
      <c r="B49" s="132" t="s">
        <v>322</v>
      </c>
      <c r="C49" s="133">
        <v>938446.0</v>
      </c>
      <c r="D49" s="149" t="s">
        <v>397</v>
      </c>
      <c r="E49" s="150" t="s">
        <v>398</v>
      </c>
      <c r="F49" s="151" t="s">
        <v>446</v>
      </c>
      <c r="G49" s="148"/>
    </row>
    <row r="50" ht="15.75" customHeight="1">
      <c r="A50" s="148"/>
      <c r="B50" s="132" t="s">
        <v>322</v>
      </c>
      <c r="C50" s="133">
        <v>938447.0</v>
      </c>
      <c r="D50" s="149" t="s">
        <v>397</v>
      </c>
      <c r="E50" s="150" t="s">
        <v>398</v>
      </c>
      <c r="F50" s="151" t="s">
        <v>447</v>
      </c>
      <c r="G50" s="148"/>
    </row>
    <row r="51" ht="15.75" customHeight="1">
      <c r="A51" s="148"/>
      <c r="B51" s="132" t="s">
        <v>322</v>
      </c>
      <c r="C51" s="133">
        <v>938448.0</v>
      </c>
      <c r="D51" s="149" t="s">
        <v>397</v>
      </c>
      <c r="E51" s="150" t="s">
        <v>398</v>
      </c>
      <c r="F51" s="151" t="s">
        <v>448</v>
      </c>
      <c r="G51" s="148"/>
    </row>
    <row r="52" ht="15.75" customHeight="1">
      <c r="A52" s="148"/>
      <c r="B52" s="132" t="s">
        <v>322</v>
      </c>
      <c r="C52" s="133">
        <v>938449.0</v>
      </c>
      <c r="D52" s="149" t="s">
        <v>397</v>
      </c>
      <c r="E52" s="150" t="s">
        <v>398</v>
      </c>
      <c r="F52" s="151" t="s">
        <v>449</v>
      </c>
      <c r="G52" s="148"/>
    </row>
    <row r="53" ht="15.75" customHeight="1">
      <c r="A53" s="148"/>
      <c r="B53" s="132" t="s">
        <v>322</v>
      </c>
      <c r="C53" s="133">
        <v>938450.0</v>
      </c>
      <c r="D53" s="149" t="s">
        <v>397</v>
      </c>
      <c r="E53" s="150" t="s">
        <v>398</v>
      </c>
      <c r="F53" s="151" t="s">
        <v>450</v>
      </c>
      <c r="G53" s="148"/>
    </row>
    <row r="54" ht="15.75" customHeight="1">
      <c r="A54" s="148"/>
      <c r="B54" s="132" t="s">
        <v>322</v>
      </c>
      <c r="C54" s="133">
        <v>938759.0</v>
      </c>
      <c r="D54" s="149" t="s">
        <v>397</v>
      </c>
      <c r="E54" s="150" t="s">
        <v>398</v>
      </c>
      <c r="F54" s="151" t="s">
        <v>451</v>
      </c>
      <c r="G54" s="148"/>
    </row>
    <row r="55" ht="15.75" customHeight="1">
      <c r="A55" s="148"/>
      <c r="B55" s="132" t="s">
        <v>322</v>
      </c>
      <c r="C55" s="133">
        <v>938760.0</v>
      </c>
      <c r="D55" s="149" t="s">
        <v>397</v>
      </c>
      <c r="E55" s="150" t="s">
        <v>398</v>
      </c>
      <c r="F55" s="151" t="s">
        <v>452</v>
      </c>
      <c r="G55" s="148"/>
    </row>
    <row r="56" ht="15.75" customHeight="1">
      <c r="A56" s="148"/>
      <c r="B56" s="132" t="s">
        <v>322</v>
      </c>
      <c r="C56" s="133">
        <v>938761.0</v>
      </c>
      <c r="D56" s="149" t="s">
        <v>397</v>
      </c>
      <c r="E56" s="150" t="s">
        <v>398</v>
      </c>
      <c r="F56" s="151" t="s">
        <v>453</v>
      </c>
      <c r="G56" s="148"/>
    </row>
    <row r="57" ht="15.75" customHeight="1">
      <c r="A57" s="148"/>
      <c r="B57" s="132" t="s">
        <v>322</v>
      </c>
      <c r="C57" s="133">
        <v>938762.0</v>
      </c>
      <c r="D57" s="149" t="s">
        <v>397</v>
      </c>
      <c r="E57" s="150" t="s">
        <v>398</v>
      </c>
      <c r="F57" s="151" t="s">
        <v>454</v>
      </c>
      <c r="G57" s="148"/>
    </row>
    <row r="58" ht="15.75" customHeight="1">
      <c r="A58" s="148"/>
      <c r="B58" s="132" t="s">
        <v>322</v>
      </c>
      <c r="C58" s="133">
        <v>938763.0</v>
      </c>
      <c r="D58" s="149" t="s">
        <v>397</v>
      </c>
      <c r="E58" s="150" t="s">
        <v>398</v>
      </c>
      <c r="F58" s="151" t="s">
        <v>455</v>
      </c>
      <c r="G58" s="148"/>
    </row>
    <row r="59" ht="15.75" customHeight="1">
      <c r="A59" s="148"/>
      <c r="B59" s="132" t="s">
        <v>322</v>
      </c>
      <c r="C59" s="133">
        <v>938764.0</v>
      </c>
      <c r="D59" s="149" t="s">
        <v>397</v>
      </c>
      <c r="E59" s="150" t="s">
        <v>398</v>
      </c>
      <c r="F59" s="151" t="s">
        <v>456</v>
      </c>
      <c r="G59" s="148"/>
    </row>
    <row r="60" ht="15.75" customHeight="1">
      <c r="A60" s="148"/>
      <c r="B60" s="132" t="s">
        <v>322</v>
      </c>
      <c r="C60" s="133">
        <v>938765.0</v>
      </c>
      <c r="D60" s="149" t="s">
        <v>397</v>
      </c>
      <c r="E60" s="150" t="s">
        <v>398</v>
      </c>
      <c r="F60" s="151" t="s">
        <v>457</v>
      </c>
      <c r="G60" s="148"/>
    </row>
    <row r="61" ht="15.75" customHeight="1">
      <c r="A61" s="148"/>
      <c r="B61" s="132" t="s">
        <v>322</v>
      </c>
      <c r="C61" s="133">
        <v>938766.0</v>
      </c>
      <c r="D61" s="149" t="s">
        <v>397</v>
      </c>
      <c r="E61" s="150" t="s">
        <v>398</v>
      </c>
      <c r="F61" s="151" t="s">
        <v>458</v>
      </c>
      <c r="G61" s="148"/>
    </row>
    <row r="62" ht="15.75" customHeight="1">
      <c r="A62" s="148"/>
      <c r="B62" s="132" t="s">
        <v>322</v>
      </c>
      <c r="C62" s="133">
        <v>938767.0</v>
      </c>
      <c r="D62" s="149" t="s">
        <v>397</v>
      </c>
      <c r="E62" s="150" t="s">
        <v>398</v>
      </c>
      <c r="F62" s="151" t="s">
        <v>459</v>
      </c>
      <c r="G62" s="148"/>
    </row>
    <row r="63" ht="15.75" customHeight="1">
      <c r="A63" s="148"/>
      <c r="B63" s="132" t="s">
        <v>322</v>
      </c>
      <c r="C63" s="133">
        <v>938768.0</v>
      </c>
      <c r="D63" s="149" t="s">
        <v>397</v>
      </c>
      <c r="E63" s="150" t="s">
        <v>398</v>
      </c>
      <c r="F63" s="151" t="s">
        <v>460</v>
      </c>
      <c r="G63" s="148"/>
    </row>
    <row r="64" ht="15.75" customHeight="1">
      <c r="A64" s="148"/>
      <c r="B64" s="132" t="s">
        <v>322</v>
      </c>
      <c r="C64" s="133">
        <v>938769.0</v>
      </c>
      <c r="D64" s="149" t="s">
        <v>397</v>
      </c>
      <c r="E64" s="150" t="s">
        <v>398</v>
      </c>
      <c r="F64" s="151" t="s">
        <v>461</v>
      </c>
      <c r="G64" s="148"/>
    </row>
    <row r="65" ht="15.75" customHeight="1">
      <c r="A65" s="148"/>
      <c r="B65" s="132" t="s">
        <v>322</v>
      </c>
      <c r="C65" s="133">
        <v>938770.0</v>
      </c>
      <c r="D65" s="149" t="s">
        <v>397</v>
      </c>
      <c r="E65" s="150" t="s">
        <v>398</v>
      </c>
      <c r="F65" s="151" t="s">
        <v>462</v>
      </c>
      <c r="G65" s="148"/>
    </row>
    <row r="66" ht="15.75" customHeight="1">
      <c r="A66" s="148"/>
      <c r="B66" s="132" t="s">
        <v>322</v>
      </c>
      <c r="C66" s="133">
        <v>938771.0</v>
      </c>
      <c r="D66" s="149" t="s">
        <v>397</v>
      </c>
      <c r="E66" s="150" t="s">
        <v>398</v>
      </c>
      <c r="F66" s="151" t="s">
        <v>463</v>
      </c>
      <c r="G66" s="148"/>
    </row>
    <row r="67" ht="15.75" customHeight="1">
      <c r="A67" s="148"/>
      <c r="B67" s="132" t="s">
        <v>322</v>
      </c>
      <c r="C67" s="133">
        <v>938772.0</v>
      </c>
      <c r="D67" s="149" t="s">
        <v>397</v>
      </c>
      <c r="E67" s="150" t="s">
        <v>398</v>
      </c>
      <c r="F67" s="151" t="s">
        <v>464</v>
      </c>
      <c r="G67" s="148"/>
    </row>
    <row r="68" ht="15.75" customHeight="1">
      <c r="A68" s="148"/>
      <c r="B68" s="132" t="s">
        <v>322</v>
      </c>
      <c r="C68" s="133">
        <v>938773.0</v>
      </c>
      <c r="D68" s="149" t="s">
        <v>397</v>
      </c>
      <c r="E68" s="150" t="s">
        <v>398</v>
      </c>
      <c r="F68" s="151" t="s">
        <v>465</v>
      </c>
      <c r="G68" s="148"/>
    </row>
    <row r="69" ht="15.75" customHeight="1">
      <c r="A69" s="148"/>
      <c r="B69" s="132" t="s">
        <v>322</v>
      </c>
      <c r="C69" s="133">
        <v>938774.0</v>
      </c>
      <c r="D69" s="149" t="s">
        <v>397</v>
      </c>
      <c r="E69" s="150" t="s">
        <v>398</v>
      </c>
      <c r="F69" s="151" t="s">
        <v>466</v>
      </c>
      <c r="G69" s="148"/>
    </row>
    <row r="70" ht="15.75" customHeight="1">
      <c r="A70" s="148"/>
      <c r="B70" s="132" t="s">
        <v>322</v>
      </c>
      <c r="C70" s="133">
        <v>938775.0</v>
      </c>
      <c r="D70" s="149" t="s">
        <v>397</v>
      </c>
      <c r="E70" s="150" t="s">
        <v>398</v>
      </c>
      <c r="F70" s="151" t="s">
        <v>467</v>
      </c>
      <c r="G70" s="148"/>
    </row>
    <row r="71" ht="15.75" customHeight="1">
      <c r="A71" s="148"/>
      <c r="B71" s="132" t="s">
        <v>322</v>
      </c>
      <c r="C71" s="133">
        <v>938776.0</v>
      </c>
      <c r="D71" s="149" t="s">
        <v>397</v>
      </c>
      <c r="E71" s="150" t="s">
        <v>398</v>
      </c>
      <c r="F71" s="151" t="s">
        <v>468</v>
      </c>
      <c r="G71" s="148"/>
    </row>
    <row r="72" ht="15.75" customHeight="1">
      <c r="A72" s="148"/>
      <c r="B72" s="132" t="s">
        <v>322</v>
      </c>
      <c r="C72" s="133">
        <v>938777.0</v>
      </c>
      <c r="D72" s="149" t="s">
        <v>397</v>
      </c>
      <c r="E72" s="150" t="s">
        <v>398</v>
      </c>
      <c r="F72" s="151" t="s">
        <v>469</v>
      </c>
      <c r="G72" s="148"/>
    </row>
    <row r="73" ht="15.75" customHeight="1">
      <c r="A73" s="148"/>
      <c r="B73" s="132" t="s">
        <v>322</v>
      </c>
      <c r="C73" s="133">
        <v>938778.0</v>
      </c>
      <c r="D73" s="149" t="s">
        <v>397</v>
      </c>
      <c r="E73" s="150" t="s">
        <v>398</v>
      </c>
      <c r="F73" s="151" t="s">
        <v>470</v>
      </c>
      <c r="G73" s="148"/>
    </row>
    <row r="74" ht="15.75" customHeight="1">
      <c r="A74" s="148"/>
      <c r="B74" s="132" t="s">
        <v>322</v>
      </c>
      <c r="C74" s="133">
        <v>938779.0</v>
      </c>
      <c r="D74" s="149" t="s">
        <v>397</v>
      </c>
      <c r="E74" s="150" t="s">
        <v>398</v>
      </c>
      <c r="F74" s="151" t="s">
        <v>471</v>
      </c>
      <c r="G74" s="148"/>
    </row>
    <row r="75" ht="15.75" customHeight="1">
      <c r="A75" s="148"/>
      <c r="B75" s="132" t="s">
        <v>322</v>
      </c>
      <c r="C75" s="133">
        <v>938780.0</v>
      </c>
      <c r="D75" s="149" t="s">
        <v>397</v>
      </c>
      <c r="E75" s="150" t="s">
        <v>398</v>
      </c>
      <c r="F75" s="151" t="s">
        <v>472</v>
      </c>
      <c r="G75" s="148"/>
    </row>
    <row r="76" ht="15.75" customHeight="1">
      <c r="A76" s="148"/>
      <c r="B76" s="132" t="s">
        <v>322</v>
      </c>
      <c r="C76" s="133">
        <v>938781.0</v>
      </c>
      <c r="D76" s="149" t="s">
        <v>397</v>
      </c>
      <c r="E76" s="150" t="s">
        <v>398</v>
      </c>
      <c r="F76" s="151" t="s">
        <v>473</v>
      </c>
      <c r="G76" s="148"/>
    </row>
    <row r="77" ht="15.75" customHeight="1">
      <c r="A77" s="148"/>
      <c r="B77" s="132" t="s">
        <v>322</v>
      </c>
      <c r="C77" s="133">
        <v>938782.0</v>
      </c>
      <c r="D77" s="149" t="s">
        <v>397</v>
      </c>
      <c r="E77" s="150" t="s">
        <v>398</v>
      </c>
      <c r="F77" s="151" t="s">
        <v>474</v>
      </c>
      <c r="G77" s="148"/>
    </row>
    <row r="78" ht="15.75" customHeight="1">
      <c r="A78" s="148"/>
      <c r="B78" s="132" t="s">
        <v>322</v>
      </c>
      <c r="C78" s="133">
        <v>938783.0</v>
      </c>
      <c r="D78" s="149" t="s">
        <v>397</v>
      </c>
      <c r="E78" s="150" t="s">
        <v>398</v>
      </c>
      <c r="F78" s="151" t="s">
        <v>475</v>
      </c>
      <c r="G78" s="148"/>
    </row>
    <row r="79" ht="15.75" customHeight="1">
      <c r="A79" s="148"/>
      <c r="B79" s="132" t="s">
        <v>322</v>
      </c>
      <c r="C79" s="133">
        <v>938784.0</v>
      </c>
      <c r="D79" s="149" t="s">
        <v>397</v>
      </c>
      <c r="E79" s="150" t="s">
        <v>398</v>
      </c>
      <c r="F79" s="151" t="s">
        <v>476</v>
      </c>
      <c r="G79" s="148"/>
    </row>
    <row r="80" ht="15.75" customHeight="1">
      <c r="A80" s="148"/>
      <c r="B80" s="132" t="s">
        <v>322</v>
      </c>
      <c r="C80" s="133">
        <v>938785.0</v>
      </c>
      <c r="D80" s="149" t="s">
        <v>397</v>
      </c>
      <c r="E80" s="150" t="s">
        <v>398</v>
      </c>
      <c r="F80" s="151" t="s">
        <v>477</v>
      </c>
      <c r="G80" s="148"/>
    </row>
    <row r="81" ht="15.75" customHeight="1">
      <c r="A81" s="148"/>
      <c r="B81" s="132" t="s">
        <v>322</v>
      </c>
      <c r="C81" s="133">
        <v>938786.0</v>
      </c>
      <c r="D81" s="149" t="s">
        <v>397</v>
      </c>
      <c r="E81" s="150" t="s">
        <v>398</v>
      </c>
      <c r="F81" s="151" t="s">
        <v>478</v>
      </c>
      <c r="G81" s="148"/>
    </row>
    <row r="82" ht="15.75" customHeight="1">
      <c r="A82" s="148"/>
      <c r="B82" s="132" t="s">
        <v>322</v>
      </c>
      <c r="C82" s="133">
        <v>938787.0</v>
      </c>
      <c r="D82" s="149" t="s">
        <v>397</v>
      </c>
      <c r="E82" s="150" t="s">
        <v>398</v>
      </c>
      <c r="F82" s="151" t="s">
        <v>479</v>
      </c>
      <c r="G82" s="148"/>
    </row>
    <row r="83" ht="15.75" customHeight="1">
      <c r="A83" s="148"/>
      <c r="B83" s="132" t="s">
        <v>322</v>
      </c>
      <c r="C83" s="133">
        <v>938788.0</v>
      </c>
      <c r="D83" s="149" t="s">
        <v>397</v>
      </c>
      <c r="E83" s="150" t="s">
        <v>398</v>
      </c>
      <c r="F83" s="151" t="s">
        <v>480</v>
      </c>
      <c r="G83" s="148"/>
    </row>
    <row r="84" ht="15.75" customHeight="1">
      <c r="A84" s="148"/>
      <c r="B84" s="132" t="s">
        <v>322</v>
      </c>
      <c r="C84" s="133">
        <v>938789.0</v>
      </c>
      <c r="D84" s="149" t="s">
        <v>397</v>
      </c>
      <c r="E84" s="150" t="s">
        <v>398</v>
      </c>
      <c r="F84" s="151" t="s">
        <v>481</v>
      </c>
      <c r="G84" s="148"/>
    </row>
    <row r="85" ht="15.75" customHeight="1">
      <c r="A85" s="148"/>
      <c r="B85" s="132" t="s">
        <v>322</v>
      </c>
      <c r="C85" s="133">
        <v>938790.0</v>
      </c>
      <c r="D85" s="149" t="s">
        <v>397</v>
      </c>
      <c r="E85" s="150" t="s">
        <v>398</v>
      </c>
      <c r="F85" s="151" t="s">
        <v>482</v>
      </c>
      <c r="G85" s="148"/>
    </row>
    <row r="86" ht="15.75" customHeight="1">
      <c r="A86" s="148"/>
      <c r="B86" s="132" t="s">
        <v>322</v>
      </c>
      <c r="C86" s="133">
        <v>938791.0</v>
      </c>
      <c r="D86" s="149" t="s">
        <v>397</v>
      </c>
      <c r="E86" s="150" t="s">
        <v>398</v>
      </c>
      <c r="F86" s="151" t="s">
        <v>483</v>
      </c>
      <c r="G86" s="148"/>
    </row>
    <row r="87" ht="15.75" customHeight="1">
      <c r="A87" s="148"/>
      <c r="B87" s="132" t="s">
        <v>322</v>
      </c>
      <c r="C87" s="133">
        <v>938792.0</v>
      </c>
      <c r="D87" s="149" t="s">
        <v>397</v>
      </c>
      <c r="E87" s="150" t="s">
        <v>398</v>
      </c>
      <c r="F87" s="151" t="s">
        <v>484</v>
      </c>
      <c r="G87" s="148"/>
    </row>
    <row r="88" ht="15.75" customHeight="1">
      <c r="A88" s="148"/>
      <c r="B88" s="132" t="s">
        <v>322</v>
      </c>
      <c r="C88" s="133">
        <v>938793.0</v>
      </c>
      <c r="D88" s="149" t="s">
        <v>397</v>
      </c>
      <c r="E88" s="150" t="s">
        <v>398</v>
      </c>
      <c r="F88" s="151" t="s">
        <v>485</v>
      </c>
      <c r="G88" s="148"/>
    </row>
    <row r="89" ht="15.75" customHeight="1">
      <c r="A89" s="148"/>
      <c r="B89" s="132" t="s">
        <v>322</v>
      </c>
      <c r="C89" s="133">
        <v>938794.0</v>
      </c>
      <c r="D89" s="149" t="s">
        <v>397</v>
      </c>
      <c r="E89" s="150" t="s">
        <v>398</v>
      </c>
      <c r="F89" s="151" t="s">
        <v>486</v>
      </c>
      <c r="G89" s="148"/>
    </row>
    <row r="90" ht="15.75" customHeight="1">
      <c r="A90" s="148"/>
      <c r="B90" s="132" t="s">
        <v>322</v>
      </c>
      <c r="C90" s="133">
        <v>938795.0</v>
      </c>
      <c r="D90" s="149" t="s">
        <v>397</v>
      </c>
      <c r="E90" s="150" t="s">
        <v>398</v>
      </c>
      <c r="F90" s="151" t="s">
        <v>487</v>
      </c>
      <c r="G90" s="148"/>
    </row>
    <row r="91" ht="15.75" customHeight="1">
      <c r="A91" s="148"/>
      <c r="B91" s="132" t="s">
        <v>322</v>
      </c>
      <c r="C91" s="133">
        <v>938796.0</v>
      </c>
      <c r="D91" s="149" t="s">
        <v>397</v>
      </c>
      <c r="E91" s="150" t="s">
        <v>398</v>
      </c>
      <c r="F91" s="151" t="s">
        <v>488</v>
      </c>
      <c r="G91" s="148"/>
    </row>
    <row r="92" ht="15.75" customHeight="1">
      <c r="A92" s="148"/>
      <c r="B92" s="132" t="s">
        <v>322</v>
      </c>
      <c r="C92" s="133">
        <v>938797.0</v>
      </c>
      <c r="D92" s="149" t="s">
        <v>397</v>
      </c>
      <c r="E92" s="150" t="s">
        <v>398</v>
      </c>
      <c r="F92" s="151" t="s">
        <v>489</v>
      </c>
      <c r="G92" s="148"/>
    </row>
    <row r="93" ht="15.75" customHeight="1">
      <c r="A93" s="148"/>
      <c r="B93" s="132" t="s">
        <v>322</v>
      </c>
      <c r="C93" s="133">
        <v>938798.0</v>
      </c>
      <c r="D93" s="149" t="s">
        <v>397</v>
      </c>
      <c r="E93" s="150" t="s">
        <v>398</v>
      </c>
      <c r="F93" s="151" t="s">
        <v>490</v>
      </c>
      <c r="G93" s="148"/>
    </row>
    <row r="94" ht="15.75" customHeight="1">
      <c r="A94" s="148"/>
      <c r="B94" s="132" t="s">
        <v>322</v>
      </c>
      <c r="C94" s="133">
        <v>938799.0</v>
      </c>
      <c r="D94" s="149" t="s">
        <v>397</v>
      </c>
      <c r="E94" s="150" t="s">
        <v>398</v>
      </c>
      <c r="F94" s="151" t="s">
        <v>491</v>
      </c>
      <c r="G94" s="148"/>
    </row>
    <row r="95" ht="15.75" customHeight="1">
      <c r="A95" s="148"/>
      <c r="B95" s="132" t="s">
        <v>322</v>
      </c>
      <c r="C95" s="133">
        <v>938800.0</v>
      </c>
      <c r="D95" s="149" t="s">
        <v>397</v>
      </c>
      <c r="E95" s="150" t="s">
        <v>398</v>
      </c>
      <c r="F95" s="151" t="s">
        <v>492</v>
      </c>
      <c r="G95" s="148"/>
    </row>
    <row r="96" ht="15.75" customHeight="1">
      <c r="A96" s="148"/>
      <c r="B96" s="132" t="s">
        <v>322</v>
      </c>
      <c r="C96" s="133">
        <v>938801.0</v>
      </c>
      <c r="D96" s="149" t="s">
        <v>397</v>
      </c>
      <c r="E96" s="150" t="s">
        <v>398</v>
      </c>
      <c r="F96" s="151" t="s">
        <v>493</v>
      </c>
      <c r="G96" s="148"/>
    </row>
    <row r="97" ht="15.75" customHeight="1">
      <c r="A97" s="148"/>
      <c r="B97" s="132" t="s">
        <v>322</v>
      </c>
      <c r="C97" s="133">
        <v>938802.0</v>
      </c>
      <c r="D97" s="149" t="s">
        <v>397</v>
      </c>
      <c r="E97" s="150" t="s">
        <v>398</v>
      </c>
      <c r="F97" s="151" t="s">
        <v>494</v>
      </c>
      <c r="G97" s="148"/>
    </row>
    <row r="98" ht="15.75" customHeight="1">
      <c r="A98" s="148"/>
      <c r="B98" s="132" t="s">
        <v>322</v>
      </c>
      <c r="C98" s="133">
        <v>938803.0</v>
      </c>
      <c r="D98" s="149" t="s">
        <v>397</v>
      </c>
      <c r="E98" s="150" t="s">
        <v>398</v>
      </c>
      <c r="F98" s="151" t="s">
        <v>495</v>
      </c>
      <c r="G98" s="148"/>
    </row>
    <row r="99" ht="15.75" customHeight="1">
      <c r="A99" s="148"/>
      <c r="B99" s="132" t="s">
        <v>322</v>
      </c>
      <c r="C99" s="133">
        <v>938804.0</v>
      </c>
      <c r="D99" s="149" t="s">
        <v>397</v>
      </c>
      <c r="E99" s="150" t="s">
        <v>398</v>
      </c>
      <c r="F99" s="151" t="s">
        <v>496</v>
      </c>
      <c r="G99" s="148"/>
    </row>
    <row r="100" ht="15.75" customHeight="1">
      <c r="A100" s="148"/>
      <c r="B100" s="132" t="s">
        <v>322</v>
      </c>
      <c r="C100" s="133">
        <v>938805.0</v>
      </c>
      <c r="D100" s="149" t="s">
        <v>397</v>
      </c>
      <c r="E100" s="150" t="s">
        <v>398</v>
      </c>
      <c r="F100" s="151" t="s">
        <v>497</v>
      </c>
      <c r="G100" s="148"/>
    </row>
    <row r="101" ht="15.75" customHeight="1">
      <c r="A101" s="148"/>
      <c r="B101" s="132" t="s">
        <v>322</v>
      </c>
      <c r="C101" s="133">
        <v>938806.0</v>
      </c>
      <c r="D101" s="149" t="s">
        <v>397</v>
      </c>
      <c r="E101" s="150" t="s">
        <v>398</v>
      </c>
      <c r="F101" s="151" t="s">
        <v>498</v>
      </c>
      <c r="G101" s="148"/>
    </row>
    <row r="102" ht="15.75" customHeight="1">
      <c r="A102" s="148"/>
      <c r="B102" s="132" t="s">
        <v>322</v>
      </c>
      <c r="C102" s="133">
        <v>938807.0</v>
      </c>
      <c r="D102" s="149" t="s">
        <v>397</v>
      </c>
      <c r="E102" s="150" t="s">
        <v>398</v>
      </c>
      <c r="F102" s="151" t="s">
        <v>499</v>
      </c>
      <c r="G102" s="148"/>
    </row>
    <row r="103" ht="15.75" customHeight="1">
      <c r="A103" s="148"/>
      <c r="B103" s="132" t="s">
        <v>322</v>
      </c>
      <c r="C103" s="133">
        <v>938808.0</v>
      </c>
      <c r="D103" s="149" t="s">
        <v>397</v>
      </c>
      <c r="E103" s="150" t="s">
        <v>398</v>
      </c>
      <c r="F103" s="151" t="s">
        <v>500</v>
      </c>
      <c r="G103" s="148"/>
    </row>
    <row r="104" ht="15.75" customHeight="1">
      <c r="A104" s="148"/>
      <c r="B104" s="132" t="s">
        <v>322</v>
      </c>
      <c r="C104" s="133">
        <v>938809.0</v>
      </c>
      <c r="D104" s="149" t="s">
        <v>397</v>
      </c>
      <c r="E104" s="150" t="s">
        <v>398</v>
      </c>
      <c r="F104" s="151" t="s">
        <v>501</v>
      </c>
      <c r="G104" s="148"/>
    </row>
    <row r="105" ht="15.75" customHeight="1">
      <c r="A105" s="148"/>
      <c r="B105" s="132" t="s">
        <v>322</v>
      </c>
      <c r="C105" s="133">
        <v>938810.0</v>
      </c>
      <c r="D105" s="149" t="s">
        <v>397</v>
      </c>
      <c r="E105" s="150" t="s">
        <v>398</v>
      </c>
      <c r="F105" s="151" t="s">
        <v>502</v>
      </c>
      <c r="G105" s="148"/>
    </row>
    <row r="106" ht="15.75" customHeight="1">
      <c r="A106" s="148"/>
      <c r="B106" s="132" t="s">
        <v>322</v>
      </c>
      <c r="C106" s="133">
        <v>938811.0</v>
      </c>
      <c r="D106" s="149" t="s">
        <v>397</v>
      </c>
      <c r="E106" s="150" t="s">
        <v>398</v>
      </c>
      <c r="F106" s="151" t="s">
        <v>503</v>
      </c>
      <c r="G106" s="148"/>
    </row>
    <row r="107" ht="15.75" customHeight="1">
      <c r="A107" s="148"/>
      <c r="B107" s="132" t="s">
        <v>322</v>
      </c>
      <c r="C107" s="133">
        <v>938812.0</v>
      </c>
      <c r="D107" s="149" t="s">
        <v>397</v>
      </c>
      <c r="E107" s="150" t="s">
        <v>398</v>
      </c>
      <c r="F107" s="151" t="s">
        <v>504</v>
      </c>
      <c r="G107" s="148"/>
    </row>
    <row r="108" ht="15.75" customHeight="1">
      <c r="A108" s="148"/>
      <c r="B108" s="132" t="s">
        <v>322</v>
      </c>
      <c r="C108" s="133">
        <v>939112.0</v>
      </c>
      <c r="D108" s="149" t="s">
        <v>397</v>
      </c>
      <c r="E108" s="150" t="s">
        <v>398</v>
      </c>
      <c r="F108" s="151" t="s">
        <v>505</v>
      </c>
      <c r="G108" s="148"/>
    </row>
    <row r="109" ht="15.75" customHeight="1">
      <c r="A109" s="148"/>
      <c r="B109" s="132" t="s">
        <v>322</v>
      </c>
      <c r="C109" s="133">
        <v>939113.0</v>
      </c>
      <c r="D109" s="149" t="s">
        <v>397</v>
      </c>
      <c r="E109" s="150" t="s">
        <v>398</v>
      </c>
      <c r="F109" s="151" t="s">
        <v>506</v>
      </c>
      <c r="G109" s="148"/>
    </row>
    <row r="110" ht="15.75" customHeight="1">
      <c r="A110" s="148"/>
      <c r="B110" s="132" t="s">
        <v>322</v>
      </c>
      <c r="C110" s="133">
        <v>939114.0</v>
      </c>
      <c r="D110" s="149" t="s">
        <v>397</v>
      </c>
      <c r="E110" s="150" t="s">
        <v>398</v>
      </c>
      <c r="F110" s="151" t="s">
        <v>507</v>
      </c>
      <c r="G110" s="148"/>
    </row>
    <row r="111" ht="15.75" customHeight="1">
      <c r="A111" s="148"/>
      <c r="B111" s="132" t="s">
        <v>322</v>
      </c>
      <c r="C111" s="133">
        <v>939115.0</v>
      </c>
      <c r="D111" s="149" t="s">
        <v>397</v>
      </c>
      <c r="E111" s="150" t="s">
        <v>398</v>
      </c>
      <c r="F111" s="151" t="s">
        <v>508</v>
      </c>
      <c r="G111" s="148"/>
    </row>
    <row r="112" ht="15.75" customHeight="1">
      <c r="A112" s="148"/>
      <c r="B112" s="132" t="s">
        <v>322</v>
      </c>
      <c r="C112" s="133">
        <v>939116.0</v>
      </c>
      <c r="D112" s="149" t="s">
        <v>397</v>
      </c>
      <c r="E112" s="150" t="s">
        <v>398</v>
      </c>
      <c r="F112" s="151" t="s">
        <v>509</v>
      </c>
      <c r="G112" s="148"/>
    </row>
    <row r="113" ht="15.75" customHeight="1">
      <c r="A113" s="148"/>
      <c r="B113" s="132" t="s">
        <v>322</v>
      </c>
      <c r="C113" s="133">
        <v>939117.0</v>
      </c>
      <c r="D113" s="149" t="s">
        <v>397</v>
      </c>
      <c r="E113" s="150" t="s">
        <v>398</v>
      </c>
      <c r="F113" s="151" t="s">
        <v>510</v>
      </c>
      <c r="G113" s="148"/>
    </row>
    <row r="114" ht="15.75" customHeight="1">
      <c r="A114" s="148"/>
      <c r="B114" s="132" t="s">
        <v>322</v>
      </c>
      <c r="C114" s="133">
        <v>939118.0</v>
      </c>
      <c r="D114" s="149" t="s">
        <v>397</v>
      </c>
      <c r="E114" s="150" t="s">
        <v>398</v>
      </c>
      <c r="F114" s="151" t="s">
        <v>511</v>
      </c>
      <c r="G114" s="148"/>
    </row>
    <row r="115" ht="15.75" customHeight="1">
      <c r="A115" s="148"/>
      <c r="B115" s="132" t="s">
        <v>322</v>
      </c>
      <c r="C115" s="133">
        <v>939119.0</v>
      </c>
      <c r="D115" s="149" t="s">
        <v>397</v>
      </c>
      <c r="E115" s="150" t="s">
        <v>398</v>
      </c>
      <c r="F115" s="151" t="s">
        <v>512</v>
      </c>
      <c r="G115" s="148"/>
    </row>
    <row r="116" ht="15.75" customHeight="1">
      <c r="A116" s="148"/>
      <c r="B116" s="132" t="s">
        <v>322</v>
      </c>
      <c r="C116" s="133">
        <v>939120.0</v>
      </c>
      <c r="D116" s="149" t="s">
        <v>397</v>
      </c>
      <c r="E116" s="150" t="s">
        <v>398</v>
      </c>
      <c r="F116" s="151" t="s">
        <v>513</v>
      </c>
      <c r="G116" s="148"/>
    </row>
    <row r="117" ht="15.75" customHeight="1">
      <c r="A117" s="148"/>
      <c r="B117" s="132" t="s">
        <v>322</v>
      </c>
      <c r="C117" s="133">
        <v>939121.0</v>
      </c>
      <c r="D117" s="149" t="s">
        <v>397</v>
      </c>
      <c r="E117" s="150" t="s">
        <v>398</v>
      </c>
      <c r="F117" s="151" t="s">
        <v>514</v>
      </c>
      <c r="G117" s="148"/>
    </row>
    <row r="118" ht="15.75" customHeight="1">
      <c r="A118" s="148"/>
      <c r="B118" s="132" t="s">
        <v>322</v>
      </c>
      <c r="C118" s="133">
        <v>939122.0</v>
      </c>
      <c r="D118" s="149" t="s">
        <v>397</v>
      </c>
      <c r="E118" s="150" t="s">
        <v>398</v>
      </c>
      <c r="F118" s="151" t="s">
        <v>515</v>
      </c>
      <c r="G118" s="148"/>
    </row>
    <row r="119" ht="15.75" customHeight="1">
      <c r="A119" s="148"/>
      <c r="B119" s="132" t="s">
        <v>322</v>
      </c>
      <c r="C119" s="133">
        <v>939123.0</v>
      </c>
      <c r="D119" s="149" t="s">
        <v>397</v>
      </c>
      <c r="E119" s="150" t="s">
        <v>398</v>
      </c>
      <c r="F119" s="151" t="s">
        <v>516</v>
      </c>
      <c r="G119" s="148"/>
    </row>
    <row r="120" ht="15.75" customHeight="1">
      <c r="A120" s="148"/>
      <c r="B120" s="132" t="s">
        <v>322</v>
      </c>
      <c r="C120" s="133">
        <v>939124.0</v>
      </c>
      <c r="D120" s="149" t="s">
        <v>397</v>
      </c>
      <c r="E120" s="150" t="s">
        <v>398</v>
      </c>
      <c r="F120" s="151" t="s">
        <v>517</v>
      </c>
      <c r="G120" s="148"/>
    </row>
    <row r="121" ht="15.75" customHeight="1">
      <c r="A121" s="148"/>
      <c r="B121" s="132" t="s">
        <v>322</v>
      </c>
      <c r="C121" s="133">
        <v>939125.0</v>
      </c>
      <c r="D121" s="149" t="s">
        <v>397</v>
      </c>
      <c r="E121" s="150" t="s">
        <v>398</v>
      </c>
      <c r="F121" s="151" t="s">
        <v>518</v>
      </c>
      <c r="G121" s="148"/>
    </row>
    <row r="122" ht="15.75" customHeight="1">
      <c r="A122" s="148"/>
      <c r="B122" s="132" t="s">
        <v>322</v>
      </c>
      <c r="C122" s="133">
        <v>939126.0</v>
      </c>
      <c r="D122" s="149" t="s">
        <v>397</v>
      </c>
      <c r="E122" s="150" t="s">
        <v>398</v>
      </c>
      <c r="F122" s="151" t="s">
        <v>519</v>
      </c>
      <c r="G122" s="148"/>
    </row>
    <row r="123" ht="15.75" customHeight="1">
      <c r="A123" s="148"/>
      <c r="B123" s="132" t="s">
        <v>322</v>
      </c>
      <c r="C123" s="133">
        <v>939127.0</v>
      </c>
      <c r="D123" s="149" t="s">
        <v>397</v>
      </c>
      <c r="E123" s="150" t="s">
        <v>398</v>
      </c>
      <c r="F123" s="151" t="s">
        <v>520</v>
      </c>
      <c r="G123" s="148"/>
    </row>
    <row r="124" ht="15.75" customHeight="1">
      <c r="A124" s="148"/>
      <c r="B124" s="132" t="s">
        <v>322</v>
      </c>
      <c r="C124" s="133">
        <v>939128.0</v>
      </c>
      <c r="D124" s="149" t="s">
        <v>397</v>
      </c>
      <c r="E124" s="150" t="s">
        <v>398</v>
      </c>
      <c r="F124" s="151" t="s">
        <v>521</v>
      </c>
      <c r="G124" s="148"/>
    </row>
    <row r="125" ht="15.75" customHeight="1">
      <c r="A125" s="148"/>
      <c r="B125" s="132" t="s">
        <v>322</v>
      </c>
      <c r="C125" s="133">
        <v>939129.0</v>
      </c>
      <c r="D125" s="149" t="s">
        <v>397</v>
      </c>
      <c r="E125" s="150" t="s">
        <v>398</v>
      </c>
      <c r="F125" s="151" t="s">
        <v>522</v>
      </c>
      <c r="G125" s="148"/>
    </row>
    <row r="126" ht="15.75" customHeight="1">
      <c r="A126" s="148"/>
      <c r="B126" s="132" t="s">
        <v>322</v>
      </c>
      <c r="C126" s="133">
        <v>939130.0</v>
      </c>
      <c r="D126" s="149" t="s">
        <v>397</v>
      </c>
      <c r="E126" s="150" t="s">
        <v>398</v>
      </c>
      <c r="F126" s="151" t="s">
        <v>523</v>
      </c>
      <c r="G126" s="148"/>
    </row>
    <row r="127" ht="15.75" customHeight="1">
      <c r="A127" s="148"/>
      <c r="B127" s="132" t="s">
        <v>322</v>
      </c>
      <c r="C127" s="133">
        <v>939131.0</v>
      </c>
      <c r="D127" s="149" t="s">
        <v>397</v>
      </c>
      <c r="E127" s="150" t="s">
        <v>398</v>
      </c>
      <c r="F127" s="151" t="s">
        <v>524</v>
      </c>
      <c r="G127" s="148"/>
    </row>
    <row r="128" ht="15.75" customHeight="1">
      <c r="A128" s="148"/>
      <c r="B128" s="132" t="s">
        <v>322</v>
      </c>
      <c r="C128" s="133">
        <v>939132.0</v>
      </c>
      <c r="D128" s="149" t="s">
        <v>397</v>
      </c>
      <c r="E128" s="150" t="s">
        <v>398</v>
      </c>
      <c r="F128" s="151" t="s">
        <v>525</v>
      </c>
      <c r="G128" s="148"/>
    </row>
    <row r="129" ht="15.75" customHeight="1">
      <c r="A129" s="148"/>
      <c r="B129" s="132" t="s">
        <v>322</v>
      </c>
      <c r="C129" s="133">
        <v>939133.0</v>
      </c>
      <c r="D129" s="149" t="s">
        <v>397</v>
      </c>
      <c r="E129" s="150" t="s">
        <v>398</v>
      </c>
      <c r="F129" s="151" t="s">
        <v>526</v>
      </c>
      <c r="G129" s="148"/>
    </row>
    <row r="130" ht="15.75" customHeight="1">
      <c r="A130" s="148"/>
      <c r="B130" s="132" t="s">
        <v>322</v>
      </c>
      <c r="C130" s="133">
        <v>939134.0</v>
      </c>
      <c r="D130" s="149" t="s">
        <v>397</v>
      </c>
      <c r="E130" s="150" t="s">
        <v>398</v>
      </c>
      <c r="F130" s="151" t="s">
        <v>527</v>
      </c>
      <c r="G130" s="148"/>
    </row>
    <row r="131" ht="15.75" customHeight="1">
      <c r="A131" s="148"/>
      <c r="B131" s="132" t="s">
        <v>322</v>
      </c>
      <c r="C131" s="133">
        <v>939135.0</v>
      </c>
      <c r="D131" s="149" t="s">
        <v>397</v>
      </c>
      <c r="E131" s="150" t="s">
        <v>398</v>
      </c>
      <c r="F131" s="151" t="s">
        <v>528</v>
      </c>
      <c r="G131" s="148"/>
    </row>
    <row r="132" ht="15.75" customHeight="1">
      <c r="A132" s="148"/>
      <c r="B132" s="132" t="s">
        <v>322</v>
      </c>
      <c r="C132" s="133">
        <v>939136.0</v>
      </c>
      <c r="D132" s="149" t="s">
        <v>397</v>
      </c>
      <c r="E132" s="150" t="s">
        <v>398</v>
      </c>
      <c r="F132" s="151" t="s">
        <v>529</v>
      </c>
      <c r="G132" s="148"/>
    </row>
    <row r="133" ht="15.75" customHeight="1">
      <c r="A133" s="148"/>
      <c r="B133" s="132" t="s">
        <v>322</v>
      </c>
      <c r="C133" s="133">
        <v>939137.0</v>
      </c>
      <c r="D133" s="149" t="s">
        <v>397</v>
      </c>
      <c r="E133" s="150" t="s">
        <v>398</v>
      </c>
      <c r="F133" s="151" t="s">
        <v>530</v>
      </c>
      <c r="G133" s="148"/>
    </row>
    <row r="134" ht="15.75" customHeight="1">
      <c r="A134" s="148"/>
      <c r="B134" s="132" t="s">
        <v>322</v>
      </c>
      <c r="C134" s="133">
        <v>939138.0</v>
      </c>
      <c r="D134" s="149" t="s">
        <v>397</v>
      </c>
      <c r="E134" s="150" t="s">
        <v>398</v>
      </c>
      <c r="F134" s="151" t="s">
        <v>531</v>
      </c>
      <c r="G134" s="148"/>
    </row>
    <row r="135" ht="15.75" customHeight="1">
      <c r="A135" s="148"/>
      <c r="B135" s="132" t="s">
        <v>322</v>
      </c>
      <c r="C135" s="133">
        <v>939139.0</v>
      </c>
      <c r="D135" s="149" t="s">
        <v>397</v>
      </c>
      <c r="E135" s="150" t="s">
        <v>398</v>
      </c>
      <c r="F135" s="151" t="s">
        <v>532</v>
      </c>
      <c r="G135" s="148"/>
    </row>
    <row r="136" ht="15.75" customHeight="1">
      <c r="A136" s="148"/>
      <c r="B136" s="132" t="s">
        <v>322</v>
      </c>
      <c r="C136" s="133">
        <v>939140.0</v>
      </c>
      <c r="D136" s="149" t="s">
        <v>397</v>
      </c>
      <c r="E136" s="150" t="s">
        <v>398</v>
      </c>
      <c r="F136" s="151" t="s">
        <v>533</v>
      </c>
      <c r="G136" s="148"/>
    </row>
    <row r="137" ht="15.75" customHeight="1">
      <c r="A137" s="148"/>
      <c r="B137" s="132" t="s">
        <v>322</v>
      </c>
      <c r="C137" s="133">
        <v>939141.0</v>
      </c>
      <c r="D137" s="149" t="s">
        <v>397</v>
      </c>
      <c r="E137" s="150" t="s">
        <v>398</v>
      </c>
      <c r="F137" s="151" t="s">
        <v>534</v>
      </c>
      <c r="G137" s="148"/>
    </row>
    <row r="138" ht="15.75" customHeight="1">
      <c r="A138" s="148"/>
      <c r="B138" s="132" t="s">
        <v>322</v>
      </c>
      <c r="C138" s="133">
        <v>939143.0</v>
      </c>
      <c r="D138" s="149" t="s">
        <v>397</v>
      </c>
      <c r="E138" s="150" t="s">
        <v>398</v>
      </c>
      <c r="F138" s="151" t="s">
        <v>535</v>
      </c>
      <c r="G138" s="148"/>
    </row>
    <row r="139" ht="15.75" customHeight="1">
      <c r="A139" s="148"/>
      <c r="B139" s="132" t="s">
        <v>322</v>
      </c>
      <c r="C139" s="133">
        <v>939144.0</v>
      </c>
      <c r="D139" s="149" t="s">
        <v>397</v>
      </c>
      <c r="E139" s="150" t="s">
        <v>398</v>
      </c>
      <c r="F139" s="151" t="s">
        <v>536</v>
      </c>
      <c r="G139" s="148"/>
    </row>
    <row r="140" ht="15.75" customHeight="1">
      <c r="A140" s="148"/>
      <c r="B140" s="132" t="s">
        <v>322</v>
      </c>
      <c r="C140" s="133">
        <v>939145.0</v>
      </c>
      <c r="D140" s="149" t="s">
        <v>397</v>
      </c>
      <c r="E140" s="150" t="s">
        <v>398</v>
      </c>
      <c r="F140" s="151" t="s">
        <v>537</v>
      </c>
      <c r="G140" s="148"/>
    </row>
    <row r="141" ht="15.75" customHeight="1">
      <c r="A141" s="148"/>
      <c r="B141" s="132" t="s">
        <v>322</v>
      </c>
      <c r="C141" s="133">
        <v>939146.0</v>
      </c>
      <c r="D141" s="149" t="s">
        <v>397</v>
      </c>
      <c r="E141" s="150" t="s">
        <v>398</v>
      </c>
      <c r="F141" s="151" t="s">
        <v>538</v>
      </c>
      <c r="G141" s="148"/>
    </row>
    <row r="142" ht="15.75" customHeight="1">
      <c r="A142" s="148"/>
      <c r="B142" s="132" t="s">
        <v>322</v>
      </c>
      <c r="C142" s="133">
        <v>939147.0</v>
      </c>
      <c r="D142" s="149" t="s">
        <v>397</v>
      </c>
      <c r="E142" s="150" t="s">
        <v>398</v>
      </c>
      <c r="F142" s="151" t="s">
        <v>539</v>
      </c>
      <c r="G142" s="148"/>
    </row>
    <row r="143" ht="15.75" customHeight="1">
      <c r="A143" s="148"/>
      <c r="B143" s="132" t="s">
        <v>322</v>
      </c>
      <c r="C143" s="133">
        <v>939148.0</v>
      </c>
      <c r="D143" s="149" t="s">
        <v>397</v>
      </c>
      <c r="E143" s="150" t="s">
        <v>398</v>
      </c>
      <c r="F143" s="151" t="s">
        <v>540</v>
      </c>
      <c r="G143" s="148"/>
    </row>
    <row r="144" ht="15.75" customHeight="1">
      <c r="A144" s="148"/>
      <c r="B144" s="132" t="s">
        <v>322</v>
      </c>
      <c r="C144" s="133">
        <v>939149.0</v>
      </c>
      <c r="D144" s="149" t="s">
        <v>397</v>
      </c>
      <c r="E144" s="150" t="s">
        <v>398</v>
      </c>
      <c r="F144" s="151" t="s">
        <v>541</v>
      </c>
      <c r="G144" s="148"/>
    </row>
    <row r="145" ht="15.75" customHeight="1">
      <c r="A145" s="148"/>
      <c r="B145" s="132" t="s">
        <v>322</v>
      </c>
      <c r="C145" s="133">
        <v>939150.0</v>
      </c>
      <c r="D145" s="149" t="s">
        <v>397</v>
      </c>
      <c r="E145" s="150" t="s">
        <v>398</v>
      </c>
      <c r="F145" s="151" t="s">
        <v>542</v>
      </c>
      <c r="G145" s="148"/>
    </row>
    <row r="146" ht="15.75" customHeight="1">
      <c r="A146" s="148"/>
      <c r="B146" s="132" t="s">
        <v>322</v>
      </c>
      <c r="C146" s="133">
        <v>939151.0</v>
      </c>
      <c r="D146" s="152" t="s">
        <v>543</v>
      </c>
      <c r="E146" s="125" t="s">
        <v>296</v>
      </c>
      <c r="F146" s="151" t="s">
        <v>544</v>
      </c>
      <c r="G146" s="148"/>
    </row>
    <row r="147" ht="15.75" customHeight="1">
      <c r="A147" s="148"/>
      <c r="B147" s="132" t="s">
        <v>322</v>
      </c>
      <c r="C147" s="133">
        <v>939152.0</v>
      </c>
      <c r="D147" s="152" t="s">
        <v>543</v>
      </c>
      <c r="E147" s="125" t="s">
        <v>296</v>
      </c>
      <c r="F147" s="151" t="s">
        <v>545</v>
      </c>
      <c r="G147" s="148"/>
    </row>
    <row r="148" ht="15.75" customHeight="1">
      <c r="A148" s="148"/>
      <c r="B148" s="132" t="s">
        <v>322</v>
      </c>
      <c r="C148" s="133">
        <v>939153.0</v>
      </c>
      <c r="D148" s="152" t="s">
        <v>543</v>
      </c>
      <c r="E148" s="125" t="s">
        <v>296</v>
      </c>
      <c r="F148" s="151" t="s">
        <v>546</v>
      </c>
      <c r="G148" s="148"/>
    </row>
    <row r="149" ht="15.75" customHeight="1">
      <c r="A149" s="148"/>
      <c r="B149" s="132" t="s">
        <v>322</v>
      </c>
      <c r="C149" s="133">
        <v>939154.0</v>
      </c>
      <c r="D149" s="152" t="s">
        <v>543</v>
      </c>
      <c r="E149" s="125" t="s">
        <v>296</v>
      </c>
      <c r="F149" s="151" t="s">
        <v>547</v>
      </c>
      <c r="G149" s="148"/>
    </row>
    <row r="150" ht="15.75" customHeight="1">
      <c r="A150" s="148"/>
      <c r="B150" s="132" t="s">
        <v>322</v>
      </c>
      <c r="C150" s="133">
        <v>939155.0</v>
      </c>
      <c r="D150" s="152" t="s">
        <v>543</v>
      </c>
      <c r="E150" s="125" t="s">
        <v>296</v>
      </c>
      <c r="F150" s="151" t="s">
        <v>548</v>
      </c>
      <c r="G150" s="148"/>
    </row>
    <row r="151" ht="15.75" customHeight="1">
      <c r="A151" s="148"/>
      <c r="B151" s="132" t="s">
        <v>322</v>
      </c>
      <c r="C151" s="133">
        <v>939156.0</v>
      </c>
      <c r="D151" s="152" t="s">
        <v>543</v>
      </c>
      <c r="E151" s="125" t="s">
        <v>296</v>
      </c>
      <c r="F151" s="151" t="s">
        <v>549</v>
      </c>
      <c r="G151" s="148"/>
    </row>
    <row r="152" ht="15.75" customHeight="1">
      <c r="A152" s="148"/>
      <c r="B152" s="132" t="s">
        <v>322</v>
      </c>
      <c r="C152" s="133">
        <v>939157.0</v>
      </c>
      <c r="D152" s="152" t="s">
        <v>543</v>
      </c>
      <c r="E152" s="125" t="s">
        <v>296</v>
      </c>
      <c r="F152" s="151" t="s">
        <v>550</v>
      </c>
      <c r="G152" s="148"/>
    </row>
    <row r="153" ht="15.75" customHeight="1">
      <c r="A153" s="148"/>
      <c r="B153" s="132" t="s">
        <v>322</v>
      </c>
      <c r="C153" s="133">
        <v>939158.0</v>
      </c>
      <c r="D153" s="152" t="s">
        <v>543</v>
      </c>
      <c r="E153" s="125" t="s">
        <v>296</v>
      </c>
      <c r="F153" s="151" t="s">
        <v>551</v>
      </c>
      <c r="G153" s="148"/>
    </row>
    <row r="154" ht="15.75" customHeight="1">
      <c r="A154" s="148"/>
      <c r="B154" s="132" t="s">
        <v>322</v>
      </c>
      <c r="C154" s="133">
        <v>939159.0</v>
      </c>
      <c r="D154" s="152" t="s">
        <v>543</v>
      </c>
      <c r="E154" s="125" t="s">
        <v>296</v>
      </c>
      <c r="F154" s="151" t="s">
        <v>552</v>
      </c>
      <c r="G154" s="148"/>
    </row>
    <row r="155" ht="15.75" customHeight="1">
      <c r="A155" s="148"/>
      <c r="B155" s="132" t="s">
        <v>322</v>
      </c>
      <c r="C155" s="133">
        <v>939160.0</v>
      </c>
      <c r="D155" s="152" t="s">
        <v>543</v>
      </c>
      <c r="E155" s="125" t="s">
        <v>296</v>
      </c>
      <c r="F155" s="151" t="s">
        <v>553</v>
      </c>
      <c r="G155" s="148"/>
    </row>
    <row r="156" ht="15.75" customHeight="1">
      <c r="A156" s="148"/>
      <c r="B156" s="132" t="s">
        <v>322</v>
      </c>
      <c r="C156" s="133">
        <v>939161.0</v>
      </c>
      <c r="D156" s="152" t="s">
        <v>543</v>
      </c>
      <c r="E156" s="125" t="s">
        <v>296</v>
      </c>
      <c r="F156" s="151" t="s">
        <v>554</v>
      </c>
      <c r="G156" s="148"/>
    </row>
    <row r="157" ht="15.75" customHeight="1">
      <c r="A157" s="148"/>
      <c r="B157" s="132" t="s">
        <v>322</v>
      </c>
      <c r="C157" s="133">
        <v>939162.0</v>
      </c>
      <c r="D157" s="149" t="s">
        <v>397</v>
      </c>
      <c r="E157" s="150" t="s">
        <v>398</v>
      </c>
      <c r="F157" s="151" t="s">
        <v>555</v>
      </c>
      <c r="G157" s="148"/>
    </row>
    <row r="158" ht="15.75" customHeight="1">
      <c r="A158" s="148"/>
      <c r="B158" s="132" t="s">
        <v>322</v>
      </c>
      <c r="C158" s="133">
        <v>939163.0</v>
      </c>
      <c r="D158" s="149" t="s">
        <v>397</v>
      </c>
      <c r="E158" s="150" t="s">
        <v>398</v>
      </c>
      <c r="F158" s="151" t="s">
        <v>556</v>
      </c>
      <c r="G158" s="148"/>
    </row>
    <row r="159" ht="15.75" customHeight="1">
      <c r="A159" s="148"/>
      <c r="B159" s="132" t="s">
        <v>322</v>
      </c>
      <c r="C159" s="133">
        <v>939164.0</v>
      </c>
      <c r="D159" s="149" t="s">
        <v>397</v>
      </c>
      <c r="E159" s="150" t="s">
        <v>398</v>
      </c>
      <c r="F159" s="151" t="s">
        <v>557</v>
      </c>
      <c r="G159" s="148"/>
    </row>
    <row r="160" ht="15.75" customHeight="1">
      <c r="A160" s="148"/>
      <c r="B160" s="132" t="s">
        <v>322</v>
      </c>
      <c r="C160" s="133">
        <v>939165.0</v>
      </c>
      <c r="D160" s="149" t="s">
        <v>397</v>
      </c>
      <c r="E160" s="150" t="s">
        <v>398</v>
      </c>
      <c r="F160" s="151" t="s">
        <v>558</v>
      </c>
      <c r="G160" s="148"/>
    </row>
    <row r="161" ht="15.75" customHeight="1">
      <c r="A161" s="148"/>
      <c r="B161" s="132" t="s">
        <v>322</v>
      </c>
      <c r="C161" s="133">
        <v>939472.0</v>
      </c>
      <c r="D161" s="149" t="s">
        <v>397</v>
      </c>
      <c r="E161" s="150" t="s">
        <v>398</v>
      </c>
      <c r="F161" s="151" t="s">
        <v>559</v>
      </c>
      <c r="G161" s="148"/>
    </row>
    <row r="162" ht="15.75" customHeight="1">
      <c r="A162" s="148"/>
      <c r="B162" s="132" t="s">
        <v>322</v>
      </c>
      <c r="C162" s="133">
        <v>939473.0</v>
      </c>
      <c r="D162" s="149" t="s">
        <v>397</v>
      </c>
      <c r="E162" s="150" t="s">
        <v>398</v>
      </c>
      <c r="F162" s="151" t="s">
        <v>560</v>
      </c>
      <c r="G162" s="148"/>
    </row>
    <row r="163" ht="15.75" customHeight="1">
      <c r="A163" s="148"/>
      <c r="B163" s="132" t="s">
        <v>322</v>
      </c>
      <c r="C163" s="133">
        <v>939474.0</v>
      </c>
      <c r="D163" s="152" t="s">
        <v>543</v>
      </c>
      <c r="E163" s="125" t="s">
        <v>296</v>
      </c>
      <c r="F163" s="151" t="s">
        <v>561</v>
      </c>
      <c r="G163" s="148"/>
    </row>
    <row r="164" ht="15.75" customHeight="1">
      <c r="A164" s="148"/>
      <c r="B164" s="132" t="s">
        <v>322</v>
      </c>
      <c r="C164" s="133">
        <v>939475.0</v>
      </c>
      <c r="D164" s="152" t="s">
        <v>543</v>
      </c>
      <c r="E164" s="125" t="s">
        <v>296</v>
      </c>
      <c r="F164" s="151" t="s">
        <v>562</v>
      </c>
      <c r="G164" s="148"/>
    </row>
    <row r="165" ht="15.75" customHeight="1">
      <c r="A165" s="148"/>
      <c r="B165" s="132" t="s">
        <v>322</v>
      </c>
      <c r="C165" s="133">
        <v>939476.0</v>
      </c>
      <c r="D165" s="152" t="s">
        <v>543</v>
      </c>
      <c r="E165" s="125" t="s">
        <v>296</v>
      </c>
      <c r="F165" s="151" t="s">
        <v>563</v>
      </c>
      <c r="G165" s="148"/>
    </row>
    <row r="166" ht="15.75" customHeight="1">
      <c r="A166" s="148"/>
      <c r="B166" s="132" t="s">
        <v>322</v>
      </c>
      <c r="C166" s="133">
        <v>939477.0</v>
      </c>
      <c r="D166" s="152" t="s">
        <v>543</v>
      </c>
      <c r="E166" s="125" t="s">
        <v>296</v>
      </c>
      <c r="F166" s="151" t="s">
        <v>564</v>
      </c>
      <c r="G166" s="148"/>
    </row>
    <row r="167" ht="15.75" customHeight="1">
      <c r="A167" s="148"/>
      <c r="B167" s="132" t="s">
        <v>322</v>
      </c>
      <c r="C167" s="133">
        <v>939478.0</v>
      </c>
      <c r="D167" s="152" t="s">
        <v>543</v>
      </c>
      <c r="E167" s="125" t="s">
        <v>296</v>
      </c>
      <c r="F167" s="151" t="s">
        <v>565</v>
      </c>
      <c r="G167" s="148"/>
    </row>
    <row r="168" ht="15.75" customHeight="1">
      <c r="A168" s="148"/>
      <c r="B168" s="132" t="s">
        <v>322</v>
      </c>
      <c r="C168" s="133">
        <v>939479.0</v>
      </c>
      <c r="D168" s="152" t="s">
        <v>543</v>
      </c>
      <c r="E168" s="125" t="s">
        <v>296</v>
      </c>
      <c r="F168" s="151" t="s">
        <v>566</v>
      </c>
      <c r="G168" s="148"/>
    </row>
    <row r="169" ht="15.75" customHeight="1">
      <c r="A169" s="148"/>
      <c r="B169" s="132" t="s">
        <v>322</v>
      </c>
      <c r="C169" s="133">
        <v>939490.0</v>
      </c>
      <c r="D169" s="149" t="s">
        <v>397</v>
      </c>
      <c r="E169" s="150" t="s">
        <v>398</v>
      </c>
      <c r="F169" s="151" t="s">
        <v>567</v>
      </c>
      <c r="G169" s="148"/>
    </row>
    <row r="170" ht="15.75" customHeight="1">
      <c r="A170" s="148"/>
      <c r="B170" s="132" t="s">
        <v>322</v>
      </c>
      <c r="C170" s="133">
        <v>939491.0</v>
      </c>
      <c r="D170" s="149" t="s">
        <v>397</v>
      </c>
      <c r="E170" s="150" t="s">
        <v>398</v>
      </c>
      <c r="F170" s="151" t="s">
        <v>568</v>
      </c>
      <c r="G170" s="148"/>
    </row>
    <row r="171" ht="15.75" customHeight="1">
      <c r="A171" s="148"/>
      <c r="B171" s="132" t="s">
        <v>322</v>
      </c>
      <c r="C171" s="133">
        <v>939492.0</v>
      </c>
      <c r="D171" s="149" t="s">
        <v>397</v>
      </c>
      <c r="E171" s="150" t="s">
        <v>398</v>
      </c>
      <c r="F171" s="151" t="s">
        <v>569</v>
      </c>
      <c r="G171" s="148"/>
    </row>
    <row r="172" ht="15.75" customHeight="1">
      <c r="A172" s="148"/>
      <c r="B172" s="132" t="s">
        <v>322</v>
      </c>
      <c r="C172" s="133">
        <v>939493.0</v>
      </c>
      <c r="D172" s="149" t="s">
        <v>397</v>
      </c>
      <c r="E172" s="150" t="s">
        <v>398</v>
      </c>
      <c r="F172" s="151" t="s">
        <v>570</v>
      </c>
      <c r="G172" s="148"/>
    </row>
    <row r="173" ht="15.75" customHeight="1">
      <c r="A173" s="148"/>
      <c r="B173" s="132" t="s">
        <v>322</v>
      </c>
      <c r="C173" s="133">
        <v>939494.0</v>
      </c>
      <c r="D173" s="149" t="s">
        <v>397</v>
      </c>
      <c r="E173" s="150" t="s">
        <v>398</v>
      </c>
      <c r="F173" s="151" t="s">
        <v>571</v>
      </c>
      <c r="G173" s="148"/>
    </row>
    <row r="174" ht="15.75" customHeight="1">
      <c r="A174" s="148"/>
      <c r="B174" s="132" t="s">
        <v>322</v>
      </c>
      <c r="C174" s="133">
        <v>939495.0</v>
      </c>
      <c r="D174" s="149" t="s">
        <v>397</v>
      </c>
      <c r="E174" s="150" t="s">
        <v>398</v>
      </c>
      <c r="F174" s="151" t="s">
        <v>572</v>
      </c>
      <c r="G174" s="148"/>
    </row>
    <row r="175" ht="15.75" customHeight="1">
      <c r="A175" s="148"/>
      <c r="B175" s="132" t="s">
        <v>322</v>
      </c>
      <c r="C175" s="133">
        <v>939496.0</v>
      </c>
      <c r="D175" s="152" t="s">
        <v>543</v>
      </c>
      <c r="E175" s="125" t="s">
        <v>296</v>
      </c>
      <c r="F175" s="151" t="s">
        <v>573</v>
      </c>
      <c r="G175" s="148"/>
    </row>
    <row r="176" ht="15.75" customHeight="1">
      <c r="A176" s="148"/>
      <c r="B176" s="132" t="s">
        <v>322</v>
      </c>
      <c r="C176" s="133">
        <v>939497.0</v>
      </c>
      <c r="D176" s="149" t="s">
        <v>397</v>
      </c>
      <c r="E176" s="150" t="s">
        <v>398</v>
      </c>
      <c r="F176" s="151" t="s">
        <v>574</v>
      </c>
      <c r="G176" s="148"/>
    </row>
    <row r="177" ht="15.75" customHeight="1">
      <c r="A177" s="148"/>
      <c r="B177" s="132" t="s">
        <v>322</v>
      </c>
      <c r="C177" s="133">
        <v>939498.0</v>
      </c>
      <c r="D177" s="149" t="s">
        <v>397</v>
      </c>
      <c r="E177" s="150" t="s">
        <v>398</v>
      </c>
      <c r="F177" s="151" t="s">
        <v>575</v>
      </c>
      <c r="G177" s="148"/>
    </row>
    <row r="178" ht="15.75" customHeight="1">
      <c r="A178" s="148"/>
      <c r="B178" s="132" t="s">
        <v>322</v>
      </c>
      <c r="C178" s="133">
        <v>939499.0</v>
      </c>
      <c r="D178" s="149" t="s">
        <v>397</v>
      </c>
      <c r="E178" s="150" t="s">
        <v>398</v>
      </c>
      <c r="F178" s="151" t="s">
        <v>576</v>
      </c>
      <c r="G178" s="148"/>
    </row>
    <row r="179" ht="15.75" customHeight="1">
      <c r="A179" s="148"/>
      <c r="B179" s="132" t="s">
        <v>322</v>
      </c>
      <c r="C179" s="133">
        <v>939500.0</v>
      </c>
      <c r="D179" s="149" t="s">
        <v>397</v>
      </c>
      <c r="E179" s="150" t="s">
        <v>398</v>
      </c>
      <c r="F179" s="151" t="s">
        <v>577</v>
      </c>
      <c r="G179" s="148"/>
    </row>
    <row r="180" ht="15.75" customHeight="1">
      <c r="A180" s="148"/>
      <c r="B180" s="132" t="s">
        <v>322</v>
      </c>
      <c r="C180" s="133">
        <v>939501.0</v>
      </c>
      <c r="D180" s="149" t="s">
        <v>397</v>
      </c>
      <c r="E180" s="150" t="s">
        <v>398</v>
      </c>
      <c r="F180" s="151" t="s">
        <v>578</v>
      </c>
      <c r="G180" s="148"/>
    </row>
    <row r="181" ht="15.75" customHeight="1">
      <c r="A181" s="148"/>
      <c r="B181" s="132" t="s">
        <v>322</v>
      </c>
      <c r="C181" s="133">
        <v>939502.0</v>
      </c>
      <c r="D181" s="149" t="s">
        <v>397</v>
      </c>
      <c r="E181" s="150" t="s">
        <v>398</v>
      </c>
      <c r="F181" s="151" t="s">
        <v>579</v>
      </c>
      <c r="G181" s="148"/>
    </row>
    <row r="182" ht="15.75" customHeight="1">
      <c r="A182" s="148"/>
      <c r="B182" s="132" t="s">
        <v>322</v>
      </c>
      <c r="C182" s="133">
        <v>939503.0</v>
      </c>
      <c r="D182" s="149" t="s">
        <v>397</v>
      </c>
      <c r="E182" s="150" t="s">
        <v>398</v>
      </c>
      <c r="F182" s="151" t="s">
        <v>580</v>
      </c>
      <c r="G182" s="148"/>
    </row>
    <row r="183" ht="15.75" customHeight="1">
      <c r="A183" s="148"/>
      <c r="B183" s="132" t="s">
        <v>322</v>
      </c>
      <c r="C183" s="133">
        <v>939504.0</v>
      </c>
      <c r="D183" s="149" t="s">
        <v>397</v>
      </c>
      <c r="E183" s="150" t="s">
        <v>398</v>
      </c>
      <c r="F183" s="151" t="s">
        <v>581</v>
      </c>
      <c r="G183" s="148"/>
    </row>
    <row r="184" ht="15.75" customHeight="1">
      <c r="A184" s="148"/>
      <c r="B184" s="132" t="s">
        <v>322</v>
      </c>
      <c r="C184" s="133">
        <v>939505.0</v>
      </c>
      <c r="D184" s="149" t="s">
        <v>397</v>
      </c>
      <c r="E184" s="150" t="s">
        <v>398</v>
      </c>
      <c r="F184" s="151" t="s">
        <v>582</v>
      </c>
      <c r="G184" s="148"/>
    </row>
    <row r="185" ht="15.75" customHeight="1">
      <c r="A185" s="148"/>
      <c r="B185" s="132" t="s">
        <v>322</v>
      </c>
      <c r="C185" s="133">
        <v>939506.0</v>
      </c>
      <c r="D185" s="149" t="s">
        <v>397</v>
      </c>
      <c r="E185" s="150" t="s">
        <v>398</v>
      </c>
      <c r="F185" s="151" t="s">
        <v>583</v>
      </c>
      <c r="G185" s="148"/>
    </row>
    <row r="186" ht="15.75" customHeight="1">
      <c r="A186" s="148"/>
      <c r="B186" s="132" t="s">
        <v>322</v>
      </c>
      <c r="C186" s="133">
        <v>939507.0</v>
      </c>
      <c r="D186" s="149" t="s">
        <v>397</v>
      </c>
      <c r="E186" s="150" t="s">
        <v>398</v>
      </c>
      <c r="F186" s="151" t="s">
        <v>584</v>
      </c>
      <c r="G186" s="148"/>
    </row>
    <row r="187" ht="15.75" customHeight="1">
      <c r="A187" s="148"/>
      <c r="B187" s="132" t="s">
        <v>322</v>
      </c>
      <c r="C187" s="133">
        <v>939508.0</v>
      </c>
      <c r="D187" s="149" t="s">
        <v>397</v>
      </c>
      <c r="E187" s="150" t="s">
        <v>398</v>
      </c>
      <c r="F187" s="151" t="s">
        <v>585</v>
      </c>
      <c r="G187" s="148"/>
    </row>
    <row r="188" ht="15.75" customHeight="1">
      <c r="A188" s="148"/>
      <c r="B188" s="132" t="s">
        <v>322</v>
      </c>
      <c r="C188" s="133">
        <v>939509.0</v>
      </c>
      <c r="D188" s="149" t="s">
        <v>397</v>
      </c>
      <c r="E188" s="150" t="s">
        <v>398</v>
      </c>
      <c r="F188" s="151" t="s">
        <v>586</v>
      </c>
      <c r="G188" s="148"/>
    </row>
    <row r="189" ht="15.75" customHeight="1">
      <c r="A189" s="148"/>
      <c r="B189" s="132" t="s">
        <v>322</v>
      </c>
      <c r="C189" s="133">
        <v>939510.0</v>
      </c>
      <c r="D189" s="149" t="s">
        <v>397</v>
      </c>
      <c r="E189" s="150" t="s">
        <v>398</v>
      </c>
      <c r="F189" s="151" t="s">
        <v>587</v>
      </c>
      <c r="G189" s="148"/>
    </row>
    <row r="190" ht="15.75" customHeight="1">
      <c r="A190" s="148"/>
      <c r="B190" s="132" t="s">
        <v>322</v>
      </c>
      <c r="C190" s="133">
        <v>939511.0</v>
      </c>
      <c r="D190" s="149" t="s">
        <v>397</v>
      </c>
      <c r="E190" s="150" t="s">
        <v>398</v>
      </c>
      <c r="F190" s="151" t="s">
        <v>588</v>
      </c>
      <c r="G190" s="148"/>
    </row>
    <row r="191" ht="15.75" customHeight="1">
      <c r="A191" s="148"/>
      <c r="B191" s="132" t="s">
        <v>322</v>
      </c>
      <c r="C191" s="133">
        <v>939512.0</v>
      </c>
      <c r="D191" s="149" t="s">
        <v>397</v>
      </c>
      <c r="E191" s="150" t="s">
        <v>398</v>
      </c>
      <c r="F191" s="151" t="s">
        <v>589</v>
      </c>
      <c r="G191" s="148"/>
    </row>
    <row r="192" ht="15.75" customHeight="1">
      <c r="A192" s="148"/>
      <c r="B192" s="132" t="s">
        <v>322</v>
      </c>
      <c r="C192" s="133">
        <v>939513.0</v>
      </c>
      <c r="D192" s="149" t="s">
        <v>397</v>
      </c>
      <c r="E192" s="150" t="s">
        <v>398</v>
      </c>
      <c r="F192" s="151" t="s">
        <v>590</v>
      </c>
      <c r="G192" s="148"/>
    </row>
    <row r="193" ht="15.75" customHeight="1">
      <c r="A193" s="148"/>
      <c r="B193" s="132" t="s">
        <v>322</v>
      </c>
      <c r="C193" s="133">
        <v>939514.0</v>
      </c>
      <c r="D193" s="149" t="s">
        <v>397</v>
      </c>
      <c r="E193" s="150" t="s">
        <v>398</v>
      </c>
      <c r="F193" s="151" t="s">
        <v>591</v>
      </c>
      <c r="G193" s="148"/>
    </row>
    <row r="194" ht="15.75" customHeight="1">
      <c r="A194" s="148"/>
      <c r="B194" s="132" t="s">
        <v>322</v>
      </c>
      <c r="C194" s="133">
        <v>939515.0</v>
      </c>
      <c r="D194" s="149" t="s">
        <v>397</v>
      </c>
      <c r="E194" s="150" t="s">
        <v>398</v>
      </c>
      <c r="F194" s="151" t="s">
        <v>592</v>
      </c>
      <c r="G194" s="148"/>
    </row>
    <row r="195" ht="15.75" customHeight="1">
      <c r="A195" s="148"/>
      <c r="B195" s="132" t="s">
        <v>322</v>
      </c>
      <c r="C195" s="133">
        <v>939516.0</v>
      </c>
      <c r="D195" s="149" t="s">
        <v>397</v>
      </c>
      <c r="E195" s="150" t="s">
        <v>398</v>
      </c>
      <c r="F195" s="151" t="s">
        <v>593</v>
      </c>
      <c r="G195" s="148"/>
    </row>
    <row r="196" ht="15.75" customHeight="1">
      <c r="A196" s="148"/>
      <c r="B196" s="132" t="s">
        <v>322</v>
      </c>
      <c r="C196" s="133">
        <v>939517.0</v>
      </c>
      <c r="D196" s="149" t="s">
        <v>397</v>
      </c>
      <c r="E196" s="150" t="s">
        <v>398</v>
      </c>
      <c r="F196" s="151" t="s">
        <v>594</v>
      </c>
      <c r="G196" s="148"/>
    </row>
    <row r="197" ht="15.75" customHeight="1">
      <c r="A197" s="148"/>
      <c r="B197" s="132" t="s">
        <v>322</v>
      </c>
      <c r="C197" s="133">
        <v>939518.0</v>
      </c>
      <c r="D197" s="149" t="s">
        <v>397</v>
      </c>
      <c r="E197" s="150" t="s">
        <v>398</v>
      </c>
      <c r="F197" s="151" t="s">
        <v>595</v>
      </c>
      <c r="G197" s="148"/>
    </row>
    <row r="198" ht="15.75" customHeight="1">
      <c r="A198" s="148"/>
      <c r="B198" s="132" t="s">
        <v>322</v>
      </c>
      <c r="C198" s="133">
        <v>939519.0</v>
      </c>
      <c r="D198" s="149" t="s">
        <v>397</v>
      </c>
      <c r="E198" s="150" t="s">
        <v>398</v>
      </c>
      <c r="F198" s="151" t="s">
        <v>596</v>
      </c>
      <c r="G198" s="148"/>
    </row>
    <row r="199" ht="15.75" customHeight="1">
      <c r="A199" s="148"/>
      <c r="B199" s="132" t="s">
        <v>322</v>
      </c>
      <c r="C199" s="133">
        <v>939520.0</v>
      </c>
      <c r="D199" s="149" t="s">
        <v>397</v>
      </c>
      <c r="E199" s="150" t="s">
        <v>398</v>
      </c>
      <c r="F199" s="151" t="s">
        <v>597</v>
      </c>
      <c r="G199" s="148"/>
    </row>
    <row r="200" ht="15.75" customHeight="1">
      <c r="A200" s="148"/>
      <c r="B200" s="132" t="s">
        <v>322</v>
      </c>
      <c r="C200" s="133">
        <v>939521.0</v>
      </c>
      <c r="D200" s="149" t="s">
        <v>397</v>
      </c>
      <c r="E200" s="150" t="s">
        <v>398</v>
      </c>
      <c r="F200" s="151" t="s">
        <v>598</v>
      </c>
      <c r="G200" s="148"/>
    </row>
    <row r="201" ht="15.75" customHeight="1">
      <c r="A201" s="148"/>
      <c r="B201" s="132" t="s">
        <v>322</v>
      </c>
      <c r="C201" s="133">
        <v>939522.0</v>
      </c>
      <c r="D201" s="149" t="s">
        <v>397</v>
      </c>
      <c r="E201" s="150" t="s">
        <v>398</v>
      </c>
      <c r="F201" s="151" t="s">
        <v>599</v>
      </c>
      <c r="G201" s="148"/>
    </row>
    <row r="202" ht="15.75" customHeight="1">
      <c r="A202" s="148"/>
      <c r="B202" s="132" t="s">
        <v>322</v>
      </c>
      <c r="C202" s="133">
        <v>939523.0</v>
      </c>
      <c r="D202" s="149" t="s">
        <v>397</v>
      </c>
      <c r="E202" s="150" t="s">
        <v>398</v>
      </c>
      <c r="F202" s="151" t="s">
        <v>600</v>
      </c>
      <c r="G202" s="148"/>
    </row>
    <row r="203" ht="15.75" customHeight="1">
      <c r="A203" s="148"/>
      <c r="B203" s="132" t="s">
        <v>322</v>
      </c>
      <c r="C203" s="133">
        <v>939524.0</v>
      </c>
      <c r="D203" s="149" t="s">
        <v>397</v>
      </c>
      <c r="E203" s="150" t="s">
        <v>398</v>
      </c>
      <c r="F203" s="151" t="s">
        <v>601</v>
      </c>
      <c r="G203" s="148"/>
    </row>
    <row r="204" ht="15.75" customHeight="1">
      <c r="A204" s="148"/>
      <c r="B204" s="132" t="s">
        <v>322</v>
      </c>
      <c r="C204" s="133">
        <v>939819.0</v>
      </c>
      <c r="D204" s="152" t="s">
        <v>543</v>
      </c>
      <c r="E204" s="125" t="s">
        <v>296</v>
      </c>
      <c r="F204" s="151" t="s">
        <v>602</v>
      </c>
      <c r="G204" s="148"/>
    </row>
    <row r="205" ht="15.75" customHeight="1">
      <c r="A205" s="148"/>
      <c r="B205" s="132" t="s">
        <v>322</v>
      </c>
      <c r="C205" s="133">
        <v>939820.0</v>
      </c>
      <c r="D205" s="152" t="s">
        <v>543</v>
      </c>
      <c r="E205" s="125" t="s">
        <v>296</v>
      </c>
      <c r="F205" s="151" t="s">
        <v>603</v>
      </c>
      <c r="G205" s="148"/>
    </row>
    <row r="206" ht="15.75" customHeight="1">
      <c r="A206" s="148"/>
      <c r="B206" s="132" t="s">
        <v>322</v>
      </c>
      <c r="C206" s="133">
        <v>939821.0</v>
      </c>
      <c r="D206" s="152" t="s">
        <v>543</v>
      </c>
      <c r="E206" s="125" t="s">
        <v>296</v>
      </c>
      <c r="F206" s="151" t="s">
        <v>604</v>
      </c>
      <c r="G206" s="148"/>
    </row>
    <row r="207" ht="15.75" customHeight="1">
      <c r="A207" s="148"/>
      <c r="B207" s="132" t="s">
        <v>322</v>
      </c>
      <c r="C207" s="133">
        <v>939822.0</v>
      </c>
      <c r="D207" s="152" t="s">
        <v>543</v>
      </c>
      <c r="E207" s="125" t="s">
        <v>296</v>
      </c>
      <c r="F207" s="151" t="s">
        <v>605</v>
      </c>
      <c r="G207" s="148"/>
    </row>
    <row r="208" ht="15.75" customHeight="1">
      <c r="A208" s="148"/>
      <c r="B208" s="132" t="s">
        <v>322</v>
      </c>
      <c r="C208" s="133">
        <v>939823.0</v>
      </c>
      <c r="D208" s="152" t="s">
        <v>543</v>
      </c>
      <c r="E208" s="125" t="s">
        <v>296</v>
      </c>
      <c r="F208" s="151" t="s">
        <v>606</v>
      </c>
      <c r="G208" s="148"/>
    </row>
    <row r="209" ht="15.75" customHeight="1">
      <c r="A209" s="148"/>
      <c r="B209" s="132" t="s">
        <v>322</v>
      </c>
      <c r="C209" s="133">
        <v>939824.0</v>
      </c>
      <c r="D209" s="152" t="s">
        <v>543</v>
      </c>
      <c r="E209" s="125" t="s">
        <v>296</v>
      </c>
      <c r="F209" s="151" t="s">
        <v>607</v>
      </c>
      <c r="G209" s="148"/>
    </row>
    <row r="210" ht="15.75" customHeight="1">
      <c r="A210" s="148"/>
      <c r="B210" s="132" t="s">
        <v>322</v>
      </c>
      <c r="C210" s="133">
        <v>939825.0</v>
      </c>
      <c r="D210" s="152" t="s">
        <v>543</v>
      </c>
      <c r="E210" s="125" t="s">
        <v>296</v>
      </c>
      <c r="F210" s="151" t="s">
        <v>608</v>
      </c>
      <c r="G210" s="148"/>
    </row>
    <row r="211" ht="15.75" customHeight="1">
      <c r="A211" s="148"/>
      <c r="B211" s="132" t="s">
        <v>322</v>
      </c>
      <c r="C211" s="133">
        <v>939826.0</v>
      </c>
      <c r="D211" s="149" t="s">
        <v>397</v>
      </c>
      <c r="E211" s="150" t="s">
        <v>398</v>
      </c>
      <c r="F211" s="151" t="s">
        <v>609</v>
      </c>
      <c r="G211" s="148"/>
    </row>
    <row r="212" ht="15.75" customHeight="1">
      <c r="A212" s="148"/>
      <c r="B212" s="132" t="s">
        <v>322</v>
      </c>
      <c r="C212" s="133">
        <v>939827.0</v>
      </c>
      <c r="D212" s="149" t="s">
        <v>397</v>
      </c>
      <c r="E212" s="150" t="s">
        <v>398</v>
      </c>
      <c r="F212" s="151" t="s">
        <v>610</v>
      </c>
      <c r="G212" s="148"/>
    </row>
    <row r="213" ht="15.75" customHeight="1">
      <c r="A213" s="148"/>
      <c r="B213" s="132" t="s">
        <v>322</v>
      </c>
      <c r="C213" s="133">
        <v>939830.0</v>
      </c>
      <c r="D213" s="152" t="s">
        <v>543</v>
      </c>
      <c r="E213" s="125" t="s">
        <v>296</v>
      </c>
      <c r="F213" s="151" t="s">
        <v>611</v>
      </c>
      <c r="G213" s="148"/>
    </row>
    <row r="214" ht="15.75" customHeight="1">
      <c r="A214" s="148"/>
      <c r="B214" s="132" t="s">
        <v>322</v>
      </c>
      <c r="C214" s="133">
        <v>939831.0</v>
      </c>
      <c r="D214" s="152" t="s">
        <v>543</v>
      </c>
      <c r="E214" s="125" t="s">
        <v>296</v>
      </c>
      <c r="F214" s="151" t="s">
        <v>612</v>
      </c>
      <c r="G214" s="148"/>
    </row>
    <row r="215" ht="15.75" customHeight="1">
      <c r="A215" s="148"/>
      <c r="B215" s="132" t="s">
        <v>322</v>
      </c>
      <c r="C215" s="133">
        <v>939832.0</v>
      </c>
      <c r="D215" s="152" t="s">
        <v>543</v>
      </c>
      <c r="E215" s="125" t="s">
        <v>296</v>
      </c>
      <c r="F215" s="151" t="s">
        <v>613</v>
      </c>
      <c r="G215" s="148"/>
    </row>
    <row r="216" ht="15.75" customHeight="1">
      <c r="A216" s="148"/>
      <c r="B216" s="132" t="s">
        <v>322</v>
      </c>
      <c r="C216" s="133">
        <v>939833.0</v>
      </c>
      <c r="D216" s="152" t="s">
        <v>543</v>
      </c>
      <c r="E216" s="125" t="s">
        <v>296</v>
      </c>
      <c r="F216" s="151" t="s">
        <v>614</v>
      </c>
      <c r="G216" s="148"/>
    </row>
    <row r="217" ht="15.75" customHeight="1">
      <c r="A217" s="148"/>
      <c r="B217" s="132" t="s">
        <v>322</v>
      </c>
      <c r="C217" s="133">
        <v>939834.0</v>
      </c>
      <c r="D217" s="152" t="s">
        <v>543</v>
      </c>
      <c r="E217" s="125" t="s">
        <v>296</v>
      </c>
      <c r="F217" s="151" t="s">
        <v>615</v>
      </c>
      <c r="G217" s="148"/>
    </row>
    <row r="218" ht="15.75" customHeight="1">
      <c r="A218" s="148"/>
      <c r="B218" s="132" t="s">
        <v>322</v>
      </c>
      <c r="C218" s="133">
        <v>939835.0</v>
      </c>
      <c r="D218" s="152" t="s">
        <v>543</v>
      </c>
      <c r="E218" s="125" t="s">
        <v>296</v>
      </c>
      <c r="F218" s="151" t="s">
        <v>616</v>
      </c>
      <c r="G218" s="148"/>
    </row>
    <row r="219" ht="15.75" customHeight="1">
      <c r="A219" s="148"/>
      <c r="B219" s="132" t="s">
        <v>322</v>
      </c>
      <c r="C219" s="133">
        <v>939836.0</v>
      </c>
      <c r="D219" s="152" t="s">
        <v>543</v>
      </c>
      <c r="E219" s="125" t="s">
        <v>296</v>
      </c>
      <c r="F219" s="151" t="s">
        <v>617</v>
      </c>
      <c r="G219" s="148"/>
    </row>
    <row r="220" ht="15.75" customHeight="1">
      <c r="A220" s="148"/>
      <c r="B220" s="132" t="s">
        <v>322</v>
      </c>
      <c r="C220" s="133">
        <v>939837.0</v>
      </c>
      <c r="D220" s="152" t="s">
        <v>543</v>
      </c>
      <c r="E220" s="125" t="s">
        <v>296</v>
      </c>
      <c r="F220" s="151" t="s">
        <v>618</v>
      </c>
      <c r="G220" s="148"/>
    </row>
    <row r="221" ht="15.75" customHeight="1">
      <c r="A221" s="148"/>
      <c r="B221" s="132" t="s">
        <v>322</v>
      </c>
      <c r="C221" s="133">
        <v>939838.0</v>
      </c>
      <c r="D221" s="152" t="s">
        <v>543</v>
      </c>
      <c r="E221" s="125" t="s">
        <v>296</v>
      </c>
      <c r="F221" s="151" t="s">
        <v>619</v>
      </c>
      <c r="G221" s="148"/>
    </row>
    <row r="222" ht="15.75" customHeight="1">
      <c r="A222" s="148"/>
      <c r="B222" s="132" t="s">
        <v>322</v>
      </c>
      <c r="C222" s="133">
        <v>939839.0</v>
      </c>
      <c r="D222" s="152" t="s">
        <v>543</v>
      </c>
      <c r="E222" s="125" t="s">
        <v>296</v>
      </c>
      <c r="F222" s="151" t="s">
        <v>620</v>
      </c>
      <c r="G222" s="148"/>
    </row>
    <row r="223" ht="15.75" customHeight="1">
      <c r="A223" s="148"/>
      <c r="B223" s="132" t="s">
        <v>322</v>
      </c>
      <c r="C223" s="133">
        <v>939840.0</v>
      </c>
      <c r="D223" s="152" t="s">
        <v>543</v>
      </c>
      <c r="E223" s="125" t="s">
        <v>296</v>
      </c>
      <c r="F223" s="151" t="s">
        <v>621</v>
      </c>
      <c r="G223" s="148"/>
    </row>
    <row r="224" ht="15.75" customHeight="1">
      <c r="A224" s="148"/>
      <c r="B224" s="132" t="s">
        <v>322</v>
      </c>
      <c r="C224" s="133">
        <v>939841.0</v>
      </c>
      <c r="D224" s="152" t="s">
        <v>543</v>
      </c>
      <c r="E224" s="125" t="s">
        <v>296</v>
      </c>
      <c r="F224" s="151" t="s">
        <v>622</v>
      </c>
      <c r="G224" s="148"/>
    </row>
    <row r="225" ht="15.75" customHeight="1">
      <c r="A225" s="148"/>
      <c r="B225" s="132" t="s">
        <v>322</v>
      </c>
      <c r="C225" s="133">
        <v>939842.0</v>
      </c>
      <c r="D225" s="152" t="s">
        <v>543</v>
      </c>
      <c r="E225" s="125" t="s">
        <v>296</v>
      </c>
      <c r="F225" s="151" t="s">
        <v>623</v>
      </c>
      <c r="G225" s="148"/>
    </row>
    <row r="226" ht="15.75" customHeight="1">
      <c r="A226" s="148"/>
      <c r="B226" s="132" t="s">
        <v>322</v>
      </c>
      <c r="C226" s="133">
        <v>939843.0</v>
      </c>
      <c r="D226" s="152" t="s">
        <v>543</v>
      </c>
      <c r="E226" s="125" t="s">
        <v>296</v>
      </c>
      <c r="F226" s="151" t="s">
        <v>624</v>
      </c>
      <c r="G226" s="148"/>
    </row>
    <row r="227" ht="15.75" customHeight="1">
      <c r="A227" s="148"/>
      <c r="B227" s="132" t="s">
        <v>322</v>
      </c>
      <c r="C227" s="133">
        <v>939844.0</v>
      </c>
      <c r="D227" s="152" t="s">
        <v>543</v>
      </c>
      <c r="E227" s="125" t="s">
        <v>296</v>
      </c>
      <c r="F227" s="151" t="s">
        <v>625</v>
      </c>
      <c r="G227" s="148"/>
    </row>
    <row r="228" ht="15.75" customHeight="1">
      <c r="A228" s="148"/>
      <c r="B228" s="132" t="s">
        <v>322</v>
      </c>
      <c r="C228" s="133">
        <v>939845.0</v>
      </c>
      <c r="D228" s="149" t="s">
        <v>397</v>
      </c>
      <c r="E228" s="150" t="s">
        <v>398</v>
      </c>
      <c r="F228" s="151" t="s">
        <v>626</v>
      </c>
      <c r="G228" s="148"/>
    </row>
    <row r="229" ht="15.75" customHeight="1">
      <c r="A229" s="148"/>
      <c r="B229" s="132" t="s">
        <v>322</v>
      </c>
      <c r="C229" s="133">
        <v>939846.0</v>
      </c>
      <c r="D229" s="149" t="s">
        <v>397</v>
      </c>
      <c r="E229" s="150" t="s">
        <v>398</v>
      </c>
      <c r="F229" s="151" t="s">
        <v>627</v>
      </c>
      <c r="G229" s="148"/>
    </row>
    <row r="230" ht="15.75" customHeight="1">
      <c r="A230" s="148"/>
      <c r="B230" s="132" t="s">
        <v>322</v>
      </c>
      <c r="C230" s="133">
        <v>939847.0</v>
      </c>
      <c r="D230" s="149" t="s">
        <v>397</v>
      </c>
      <c r="E230" s="150" t="s">
        <v>398</v>
      </c>
      <c r="F230" s="151" t="s">
        <v>628</v>
      </c>
      <c r="G230" s="148"/>
    </row>
    <row r="231" ht="15.75" customHeight="1">
      <c r="A231" s="148"/>
      <c r="B231" s="132" t="s">
        <v>322</v>
      </c>
      <c r="C231" s="133">
        <v>939848.0</v>
      </c>
      <c r="D231" s="149" t="s">
        <v>397</v>
      </c>
      <c r="E231" s="150" t="s">
        <v>398</v>
      </c>
      <c r="F231" s="151" t="s">
        <v>629</v>
      </c>
      <c r="G231" s="148"/>
    </row>
    <row r="232" ht="15.75" customHeight="1">
      <c r="A232" s="148"/>
      <c r="B232" s="132" t="s">
        <v>322</v>
      </c>
      <c r="C232" s="133">
        <v>939849.0</v>
      </c>
      <c r="D232" s="149" t="s">
        <v>397</v>
      </c>
      <c r="E232" s="150" t="s">
        <v>398</v>
      </c>
      <c r="F232" s="151" t="s">
        <v>630</v>
      </c>
      <c r="G232" s="148"/>
    </row>
    <row r="233" ht="15.75" customHeight="1">
      <c r="A233" s="148"/>
      <c r="B233" s="132" t="s">
        <v>322</v>
      </c>
      <c r="C233" s="133">
        <v>939850.0</v>
      </c>
      <c r="D233" s="149" t="s">
        <v>397</v>
      </c>
      <c r="E233" s="150" t="s">
        <v>398</v>
      </c>
      <c r="F233" s="151" t="s">
        <v>631</v>
      </c>
      <c r="G233" s="148"/>
    </row>
    <row r="234" ht="15.75" customHeight="1">
      <c r="A234" s="148"/>
      <c r="B234" s="132" t="s">
        <v>322</v>
      </c>
      <c r="C234" s="133">
        <v>939851.0</v>
      </c>
      <c r="D234" s="149" t="s">
        <v>397</v>
      </c>
      <c r="E234" s="150" t="s">
        <v>398</v>
      </c>
      <c r="F234" s="151" t="s">
        <v>632</v>
      </c>
      <c r="G234" s="148"/>
    </row>
    <row r="235" ht="15.75" customHeight="1">
      <c r="A235" s="148"/>
      <c r="B235" s="132" t="s">
        <v>322</v>
      </c>
      <c r="C235" s="133">
        <v>939852.0</v>
      </c>
      <c r="D235" s="149" t="s">
        <v>397</v>
      </c>
      <c r="E235" s="150" t="s">
        <v>398</v>
      </c>
      <c r="F235" s="151" t="s">
        <v>633</v>
      </c>
      <c r="G235" s="148"/>
    </row>
    <row r="236" ht="15.75" customHeight="1">
      <c r="A236" s="148"/>
      <c r="B236" s="132" t="s">
        <v>322</v>
      </c>
      <c r="C236" s="133">
        <v>939853.0</v>
      </c>
      <c r="D236" s="149" t="s">
        <v>397</v>
      </c>
      <c r="E236" s="150" t="s">
        <v>398</v>
      </c>
      <c r="F236" s="151" t="s">
        <v>634</v>
      </c>
      <c r="G236" s="148"/>
    </row>
    <row r="237" ht="15.75" customHeight="1">
      <c r="A237" s="148"/>
      <c r="B237" s="132" t="s">
        <v>322</v>
      </c>
      <c r="C237" s="133">
        <v>939854.0</v>
      </c>
      <c r="D237" s="149" t="s">
        <v>397</v>
      </c>
      <c r="E237" s="150" t="s">
        <v>398</v>
      </c>
      <c r="F237" s="151" t="s">
        <v>635</v>
      </c>
      <c r="G237" s="148"/>
    </row>
    <row r="238" ht="15.75" customHeight="1">
      <c r="A238" s="148"/>
      <c r="B238" s="132" t="s">
        <v>322</v>
      </c>
      <c r="C238" s="133">
        <v>939855.0</v>
      </c>
      <c r="D238" s="149" t="s">
        <v>397</v>
      </c>
      <c r="E238" s="150" t="s">
        <v>398</v>
      </c>
      <c r="F238" s="151" t="s">
        <v>636</v>
      </c>
      <c r="G238" s="148"/>
    </row>
    <row r="239" ht="15.75" customHeight="1">
      <c r="A239" s="148"/>
      <c r="B239" s="132" t="s">
        <v>322</v>
      </c>
      <c r="C239" s="133">
        <v>939856.0</v>
      </c>
      <c r="D239" s="149" t="s">
        <v>397</v>
      </c>
      <c r="E239" s="150" t="s">
        <v>398</v>
      </c>
      <c r="F239" s="151" t="s">
        <v>637</v>
      </c>
      <c r="G239" s="148"/>
    </row>
    <row r="240" ht="15.75" customHeight="1">
      <c r="A240" s="148"/>
      <c r="B240" s="132" t="s">
        <v>322</v>
      </c>
      <c r="C240" s="133">
        <v>939857.0</v>
      </c>
      <c r="D240" s="149" t="s">
        <v>397</v>
      </c>
      <c r="E240" s="150" t="s">
        <v>398</v>
      </c>
      <c r="F240" s="151" t="s">
        <v>638</v>
      </c>
      <c r="G240" s="148"/>
    </row>
    <row r="241" ht="15.75" customHeight="1">
      <c r="A241" s="148"/>
      <c r="B241" s="132" t="s">
        <v>322</v>
      </c>
      <c r="C241" s="133">
        <v>939858.0</v>
      </c>
      <c r="D241" s="149" t="s">
        <v>397</v>
      </c>
      <c r="E241" s="150" t="s">
        <v>398</v>
      </c>
      <c r="F241" s="151" t="s">
        <v>639</v>
      </c>
      <c r="G241" s="148"/>
    </row>
    <row r="242" ht="15.75" customHeight="1">
      <c r="A242" s="148"/>
      <c r="B242" s="132" t="s">
        <v>322</v>
      </c>
      <c r="C242" s="133">
        <v>939859.0</v>
      </c>
      <c r="D242" s="149" t="s">
        <v>397</v>
      </c>
      <c r="E242" s="150" t="s">
        <v>398</v>
      </c>
      <c r="F242" s="151" t="s">
        <v>640</v>
      </c>
      <c r="G242" s="148"/>
    </row>
    <row r="243" ht="15.75" customHeight="1">
      <c r="A243" s="148"/>
      <c r="B243" s="132" t="s">
        <v>322</v>
      </c>
      <c r="C243" s="133">
        <v>939860.0</v>
      </c>
      <c r="D243" s="149" t="s">
        <v>397</v>
      </c>
      <c r="E243" s="150" t="s">
        <v>398</v>
      </c>
      <c r="F243" s="151" t="s">
        <v>641</v>
      </c>
      <c r="G243" s="148"/>
    </row>
    <row r="244" ht="15.75" customHeight="1">
      <c r="A244" s="148"/>
      <c r="B244" s="132" t="s">
        <v>322</v>
      </c>
      <c r="C244" s="133">
        <v>939861.0</v>
      </c>
      <c r="D244" s="149" t="s">
        <v>397</v>
      </c>
      <c r="E244" s="150" t="s">
        <v>398</v>
      </c>
      <c r="F244" s="151" t="s">
        <v>642</v>
      </c>
      <c r="G244" s="148"/>
    </row>
    <row r="245" ht="15.75" customHeight="1">
      <c r="A245" s="148"/>
      <c r="B245" s="132" t="s">
        <v>322</v>
      </c>
      <c r="C245" s="133">
        <v>939862.0</v>
      </c>
      <c r="D245" s="149" t="s">
        <v>397</v>
      </c>
      <c r="E245" s="150" t="s">
        <v>398</v>
      </c>
      <c r="F245" s="151" t="s">
        <v>643</v>
      </c>
      <c r="G245" s="148"/>
    </row>
    <row r="246" ht="15.75" customHeight="1">
      <c r="A246" s="148"/>
      <c r="B246" s="132" t="s">
        <v>322</v>
      </c>
      <c r="C246" s="133">
        <v>939863.0</v>
      </c>
      <c r="D246" s="149" t="s">
        <v>397</v>
      </c>
      <c r="E246" s="150" t="s">
        <v>398</v>
      </c>
      <c r="F246" s="151" t="s">
        <v>644</v>
      </c>
      <c r="G246" s="148"/>
    </row>
    <row r="247" ht="15.75" customHeight="1">
      <c r="A247" s="148"/>
      <c r="B247" s="132" t="s">
        <v>322</v>
      </c>
      <c r="C247" s="133">
        <v>939864.0</v>
      </c>
      <c r="D247" s="149" t="s">
        <v>397</v>
      </c>
      <c r="E247" s="150" t="s">
        <v>398</v>
      </c>
      <c r="F247" s="151" t="s">
        <v>645</v>
      </c>
      <c r="G247" s="148"/>
    </row>
    <row r="248" ht="15.75" customHeight="1">
      <c r="A248" s="148"/>
      <c r="B248" s="132" t="s">
        <v>322</v>
      </c>
      <c r="C248" s="133">
        <v>939865.0</v>
      </c>
      <c r="D248" s="149" t="s">
        <v>397</v>
      </c>
      <c r="E248" s="150" t="s">
        <v>398</v>
      </c>
      <c r="F248" s="151" t="s">
        <v>646</v>
      </c>
      <c r="G248" s="148"/>
    </row>
    <row r="249" ht="15.75" customHeight="1">
      <c r="A249" s="148"/>
      <c r="B249" s="132" t="s">
        <v>322</v>
      </c>
      <c r="C249" s="133">
        <v>939866.0</v>
      </c>
      <c r="D249" s="149" t="s">
        <v>397</v>
      </c>
      <c r="E249" s="150" t="s">
        <v>398</v>
      </c>
      <c r="F249" s="151" t="s">
        <v>647</v>
      </c>
      <c r="G249" s="148"/>
    </row>
    <row r="250" ht="15.75" customHeight="1">
      <c r="A250" s="148"/>
      <c r="B250" s="132" t="s">
        <v>322</v>
      </c>
      <c r="C250" s="133">
        <v>939867.0</v>
      </c>
      <c r="D250" s="149" t="s">
        <v>397</v>
      </c>
      <c r="E250" s="150" t="s">
        <v>398</v>
      </c>
      <c r="F250" s="151" t="s">
        <v>648</v>
      </c>
      <c r="G250" s="148"/>
    </row>
    <row r="251" ht="15.75" customHeight="1">
      <c r="A251" s="148"/>
      <c r="B251" s="132" t="s">
        <v>322</v>
      </c>
      <c r="C251" s="133">
        <v>939868.0</v>
      </c>
      <c r="D251" s="149" t="s">
        <v>397</v>
      </c>
      <c r="E251" s="150" t="s">
        <v>398</v>
      </c>
      <c r="F251" s="151" t="s">
        <v>649</v>
      </c>
      <c r="G251" s="148"/>
    </row>
    <row r="252" ht="15.75" customHeight="1">
      <c r="A252" s="148"/>
      <c r="B252" s="132" t="s">
        <v>322</v>
      </c>
      <c r="C252" s="133">
        <v>939869.0</v>
      </c>
      <c r="D252" s="149" t="s">
        <v>397</v>
      </c>
      <c r="E252" s="150" t="s">
        <v>398</v>
      </c>
      <c r="F252" s="151" t="s">
        <v>650</v>
      </c>
      <c r="G252" s="148"/>
    </row>
    <row r="253" ht="15.75" customHeight="1">
      <c r="A253" s="148"/>
      <c r="B253" s="132" t="s">
        <v>322</v>
      </c>
      <c r="C253" s="133">
        <v>939870.0</v>
      </c>
      <c r="D253" s="149" t="s">
        <v>397</v>
      </c>
      <c r="E253" s="150" t="s">
        <v>398</v>
      </c>
      <c r="F253" s="151" t="s">
        <v>651</v>
      </c>
      <c r="G253" s="148"/>
    </row>
    <row r="254" ht="15.75" customHeight="1">
      <c r="A254" s="148"/>
      <c r="B254" s="132" t="s">
        <v>322</v>
      </c>
      <c r="C254" s="133">
        <v>939871.0</v>
      </c>
      <c r="D254" s="149" t="s">
        <v>397</v>
      </c>
      <c r="E254" s="150" t="s">
        <v>398</v>
      </c>
      <c r="F254" s="151" t="s">
        <v>652</v>
      </c>
      <c r="G254" s="148"/>
    </row>
    <row r="255" ht="15.75" customHeight="1">
      <c r="A255" s="148"/>
      <c r="B255" s="132" t="s">
        <v>322</v>
      </c>
      <c r="C255" s="133">
        <v>939872.0</v>
      </c>
      <c r="D255" s="149" t="s">
        <v>397</v>
      </c>
      <c r="E255" s="150" t="s">
        <v>398</v>
      </c>
      <c r="F255" s="151" t="s">
        <v>653</v>
      </c>
      <c r="G255" s="148"/>
    </row>
    <row r="256" ht="15.75" customHeight="1">
      <c r="A256" s="148"/>
      <c r="B256" s="132" t="s">
        <v>322</v>
      </c>
      <c r="C256" s="133">
        <v>939873.0</v>
      </c>
      <c r="D256" s="149" t="s">
        <v>397</v>
      </c>
      <c r="E256" s="150" t="s">
        <v>398</v>
      </c>
      <c r="F256" s="151" t="s">
        <v>654</v>
      </c>
      <c r="G256" s="148"/>
    </row>
    <row r="257" ht="15.75" customHeight="1">
      <c r="A257" s="148"/>
      <c r="B257" s="132" t="s">
        <v>322</v>
      </c>
      <c r="C257" s="133">
        <v>940173.0</v>
      </c>
      <c r="D257" s="149" t="s">
        <v>397</v>
      </c>
      <c r="E257" s="150" t="s">
        <v>398</v>
      </c>
      <c r="F257" s="151" t="s">
        <v>655</v>
      </c>
      <c r="G257" s="148"/>
    </row>
    <row r="258" ht="15.75" customHeight="1">
      <c r="A258" s="148"/>
      <c r="B258" s="132" t="s">
        <v>322</v>
      </c>
      <c r="C258" s="133">
        <v>940174.0</v>
      </c>
      <c r="D258" s="149" t="s">
        <v>397</v>
      </c>
      <c r="E258" s="150" t="s">
        <v>398</v>
      </c>
      <c r="F258" s="151" t="s">
        <v>656</v>
      </c>
      <c r="G258" s="148"/>
    </row>
    <row r="259" ht="15.75" customHeight="1">
      <c r="A259" s="148"/>
      <c r="B259" s="132" t="s">
        <v>322</v>
      </c>
      <c r="C259" s="133">
        <v>940175.0</v>
      </c>
      <c r="D259" s="149" t="s">
        <v>397</v>
      </c>
      <c r="E259" s="150" t="s">
        <v>398</v>
      </c>
      <c r="F259" s="151" t="s">
        <v>657</v>
      </c>
      <c r="G259" s="148"/>
    </row>
    <row r="260" ht="15.75" customHeight="1">
      <c r="A260" s="148"/>
      <c r="B260" s="132" t="s">
        <v>322</v>
      </c>
      <c r="C260" s="133">
        <v>940176.0</v>
      </c>
      <c r="D260" s="149" t="s">
        <v>397</v>
      </c>
      <c r="E260" s="150" t="s">
        <v>398</v>
      </c>
      <c r="F260" s="151" t="s">
        <v>658</v>
      </c>
      <c r="G260" s="148"/>
    </row>
    <row r="261" ht="15.75" customHeight="1">
      <c r="A261" s="148"/>
      <c r="B261" s="132" t="s">
        <v>322</v>
      </c>
      <c r="C261" s="133">
        <v>940177.0</v>
      </c>
      <c r="D261" s="149" t="s">
        <v>397</v>
      </c>
      <c r="E261" s="150" t="s">
        <v>398</v>
      </c>
      <c r="F261" s="151" t="s">
        <v>659</v>
      </c>
      <c r="G261" s="148"/>
    </row>
    <row r="262" ht="15.75" customHeight="1">
      <c r="A262" s="148"/>
      <c r="B262" s="132" t="s">
        <v>322</v>
      </c>
      <c r="C262" s="133">
        <v>940178.0</v>
      </c>
      <c r="D262" s="149" t="s">
        <v>397</v>
      </c>
      <c r="E262" s="150" t="s">
        <v>398</v>
      </c>
      <c r="F262" s="151" t="s">
        <v>660</v>
      </c>
      <c r="G262" s="148"/>
    </row>
    <row r="263" ht="15.75" customHeight="1">
      <c r="A263" s="148"/>
      <c r="B263" s="132" t="s">
        <v>322</v>
      </c>
      <c r="C263" s="133">
        <v>940179.0</v>
      </c>
      <c r="D263" s="149" t="s">
        <v>397</v>
      </c>
      <c r="E263" s="150" t="s">
        <v>398</v>
      </c>
      <c r="F263" s="151" t="s">
        <v>661</v>
      </c>
      <c r="G263" s="148"/>
    </row>
    <row r="264" ht="15.75" customHeight="1">
      <c r="A264" s="148"/>
      <c r="B264" s="132" t="s">
        <v>322</v>
      </c>
      <c r="C264" s="133">
        <v>940180.0</v>
      </c>
      <c r="D264" s="149" t="s">
        <v>397</v>
      </c>
      <c r="E264" s="150" t="s">
        <v>398</v>
      </c>
      <c r="F264" s="151" t="s">
        <v>662</v>
      </c>
      <c r="G264" s="148"/>
    </row>
    <row r="265" ht="15.75" customHeight="1">
      <c r="A265" s="148"/>
      <c r="B265" s="132" t="s">
        <v>322</v>
      </c>
      <c r="C265" s="133">
        <v>940181.0</v>
      </c>
      <c r="D265" s="149" t="s">
        <v>397</v>
      </c>
      <c r="E265" s="150" t="s">
        <v>398</v>
      </c>
      <c r="F265" s="151" t="s">
        <v>663</v>
      </c>
      <c r="G265" s="148"/>
    </row>
    <row r="266" ht="15.75" customHeight="1">
      <c r="A266" s="148"/>
      <c r="B266" s="132" t="s">
        <v>322</v>
      </c>
      <c r="C266" s="133">
        <v>940182.0</v>
      </c>
      <c r="D266" s="149" t="s">
        <v>397</v>
      </c>
      <c r="E266" s="150" t="s">
        <v>398</v>
      </c>
      <c r="F266" s="151" t="s">
        <v>664</v>
      </c>
      <c r="G266" s="148"/>
    </row>
    <row r="267" ht="15.75" customHeight="1">
      <c r="A267" s="148"/>
      <c r="B267" s="132" t="s">
        <v>322</v>
      </c>
      <c r="C267" s="133">
        <v>940183.0</v>
      </c>
      <c r="D267" s="149" t="s">
        <v>397</v>
      </c>
      <c r="E267" s="150" t="s">
        <v>398</v>
      </c>
      <c r="F267" s="151" t="s">
        <v>665</v>
      </c>
      <c r="G267" s="148"/>
    </row>
    <row r="268" ht="15.75" customHeight="1">
      <c r="A268" s="148"/>
      <c r="B268" s="132" t="s">
        <v>322</v>
      </c>
      <c r="C268" s="133">
        <v>940184.0</v>
      </c>
      <c r="D268" s="149" t="s">
        <v>397</v>
      </c>
      <c r="E268" s="150" t="s">
        <v>398</v>
      </c>
      <c r="F268" s="151" t="s">
        <v>666</v>
      </c>
      <c r="G268" s="148"/>
    </row>
    <row r="269" ht="15.75" customHeight="1">
      <c r="A269" s="148"/>
      <c r="B269" s="132" t="s">
        <v>322</v>
      </c>
      <c r="C269" s="133">
        <v>940185.0</v>
      </c>
      <c r="D269" s="149" t="s">
        <v>397</v>
      </c>
      <c r="E269" s="150" t="s">
        <v>398</v>
      </c>
      <c r="F269" s="151" t="s">
        <v>667</v>
      </c>
      <c r="G269" s="148"/>
    </row>
    <row r="270" ht="15.75" customHeight="1">
      <c r="A270" s="148"/>
      <c r="B270" s="132" t="s">
        <v>322</v>
      </c>
      <c r="C270" s="133">
        <v>940186.0</v>
      </c>
      <c r="D270" s="149" t="s">
        <v>397</v>
      </c>
      <c r="E270" s="150" t="s">
        <v>398</v>
      </c>
      <c r="F270" s="151" t="s">
        <v>668</v>
      </c>
      <c r="G270" s="148"/>
    </row>
    <row r="271" ht="15.75" customHeight="1">
      <c r="A271" s="148"/>
      <c r="B271" s="132" t="s">
        <v>322</v>
      </c>
      <c r="C271" s="133">
        <v>940187.0</v>
      </c>
      <c r="D271" s="149" t="s">
        <v>397</v>
      </c>
      <c r="E271" s="150" t="s">
        <v>398</v>
      </c>
      <c r="F271" s="151" t="s">
        <v>669</v>
      </c>
      <c r="G271" s="148"/>
    </row>
    <row r="272" ht="15.75" customHeight="1">
      <c r="A272" s="148"/>
      <c r="B272" s="132" t="s">
        <v>322</v>
      </c>
      <c r="C272" s="133">
        <v>940188.0</v>
      </c>
      <c r="D272" s="149" t="s">
        <v>397</v>
      </c>
      <c r="E272" s="150" t="s">
        <v>398</v>
      </c>
      <c r="F272" s="151" t="s">
        <v>670</v>
      </c>
      <c r="G272" s="148"/>
    </row>
    <row r="273" ht="15.75" customHeight="1">
      <c r="A273" s="148"/>
      <c r="B273" s="132" t="s">
        <v>322</v>
      </c>
      <c r="C273" s="133">
        <v>940189.0</v>
      </c>
      <c r="D273" s="149" t="s">
        <v>397</v>
      </c>
      <c r="E273" s="150" t="s">
        <v>398</v>
      </c>
      <c r="F273" s="151" t="s">
        <v>671</v>
      </c>
      <c r="G273" s="148"/>
    </row>
    <row r="274" ht="15.75" customHeight="1">
      <c r="A274" s="148"/>
      <c r="B274" s="132" t="s">
        <v>322</v>
      </c>
      <c r="C274" s="133">
        <v>940190.0</v>
      </c>
      <c r="D274" s="149" t="s">
        <v>397</v>
      </c>
      <c r="E274" s="150" t="s">
        <v>398</v>
      </c>
      <c r="F274" s="151" t="s">
        <v>672</v>
      </c>
      <c r="G274" s="148"/>
    </row>
    <row r="275" ht="15.75" customHeight="1">
      <c r="A275" s="148"/>
      <c r="B275" s="132" t="s">
        <v>322</v>
      </c>
      <c r="C275" s="133">
        <v>940191.0</v>
      </c>
      <c r="D275" s="149" t="s">
        <v>397</v>
      </c>
      <c r="E275" s="150" t="s">
        <v>398</v>
      </c>
      <c r="F275" s="151" t="s">
        <v>673</v>
      </c>
      <c r="G275" s="148"/>
    </row>
    <row r="276" ht="15.75" customHeight="1">
      <c r="A276" s="148"/>
      <c r="B276" s="132" t="s">
        <v>322</v>
      </c>
      <c r="C276" s="133">
        <v>940194.0</v>
      </c>
      <c r="D276" s="149" t="s">
        <v>397</v>
      </c>
      <c r="E276" s="150" t="s">
        <v>398</v>
      </c>
      <c r="F276" s="151" t="s">
        <v>674</v>
      </c>
      <c r="G276" s="148"/>
    </row>
    <row r="277" ht="15.75" customHeight="1">
      <c r="A277" s="148"/>
      <c r="B277" s="132" t="s">
        <v>322</v>
      </c>
      <c r="C277" s="133">
        <v>940195.0</v>
      </c>
      <c r="D277" s="149" t="s">
        <v>397</v>
      </c>
      <c r="E277" s="150" t="s">
        <v>398</v>
      </c>
      <c r="F277" s="151" t="s">
        <v>675</v>
      </c>
      <c r="G277" s="148"/>
    </row>
    <row r="278" ht="15.75" customHeight="1">
      <c r="A278" s="148"/>
      <c r="B278" s="132" t="s">
        <v>322</v>
      </c>
      <c r="C278" s="133">
        <v>940196.0</v>
      </c>
      <c r="D278" s="149" t="s">
        <v>397</v>
      </c>
      <c r="E278" s="150" t="s">
        <v>398</v>
      </c>
      <c r="F278" s="151" t="s">
        <v>676</v>
      </c>
      <c r="G278" s="148"/>
    </row>
    <row r="279" ht="15.75" customHeight="1">
      <c r="A279" s="148"/>
      <c r="B279" s="132" t="s">
        <v>322</v>
      </c>
      <c r="C279" s="133">
        <v>940197.0</v>
      </c>
      <c r="D279" s="149" t="s">
        <v>397</v>
      </c>
      <c r="E279" s="150" t="s">
        <v>398</v>
      </c>
      <c r="F279" s="151" t="s">
        <v>677</v>
      </c>
      <c r="G279" s="148"/>
    </row>
    <row r="280" ht="15.75" customHeight="1">
      <c r="A280" s="148"/>
      <c r="B280" s="132" t="s">
        <v>322</v>
      </c>
      <c r="C280" s="133">
        <v>940198.0</v>
      </c>
      <c r="D280" s="149" t="s">
        <v>397</v>
      </c>
      <c r="E280" s="150" t="s">
        <v>398</v>
      </c>
      <c r="F280" s="151" t="s">
        <v>678</v>
      </c>
      <c r="G280" s="148"/>
    </row>
    <row r="281" ht="15.75" customHeight="1">
      <c r="A281" s="148"/>
      <c r="B281" s="132" t="s">
        <v>322</v>
      </c>
      <c r="C281" s="133">
        <v>940199.0</v>
      </c>
      <c r="D281" s="149" t="s">
        <v>397</v>
      </c>
      <c r="E281" s="150" t="s">
        <v>398</v>
      </c>
      <c r="F281" s="151" t="s">
        <v>679</v>
      </c>
      <c r="G281" s="148"/>
    </row>
    <row r="282" ht="15.75" customHeight="1">
      <c r="A282" s="148"/>
      <c r="B282" s="132" t="s">
        <v>322</v>
      </c>
      <c r="C282" s="133">
        <v>940200.0</v>
      </c>
      <c r="D282" s="149" t="s">
        <v>397</v>
      </c>
      <c r="E282" s="150" t="s">
        <v>398</v>
      </c>
      <c r="F282" s="151" t="s">
        <v>680</v>
      </c>
      <c r="G282" s="148"/>
    </row>
    <row r="283" ht="15.75" customHeight="1">
      <c r="A283" s="148"/>
      <c r="B283" s="132" t="s">
        <v>322</v>
      </c>
      <c r="C283" s="133">
        <v>940201.0</v>
      </c>
      <c r="D283" s="149" t="s">
        <v>397</v>
      </c>
      <c r="E283" s="150" t="s">
        <v>398</v>
      </c>
      <c r="F283" s="151" t="s">
        <v>681</v>
      </c>
      <c r="G283" s="148"/>
    </row>
    <row r="284" ht="15.75" customHeight="1">
      <c r="A284" s="148"/>
      <c r="B284" s="132" t="s">
        <v>322</v>
      </c>
      <c r="C284" s="133">
        <v>940202.0</v>
      </c>
      <c r="D284" s="149" t="s">
        <v>397</v>
      </c>
      <c r="E284" s="150" t="s">
        <v>398</v>
      </c>
      <c r="F284" s="151" t="s">
        <v>682</v>
      </c>
      <c r="G284" s="148"/>
    </row>
    <row r="285" ht="15.75" customHeight="1">
      <c r="A285" s="148"/>
      <c r="B285" s="132" t="s">
        <v>322</v>
      </c>
      <c r="C285" s="133">
        <v>940203.0</v>
      </c>
      <c r="D285" s="149" t="s">
        <v>397</v>
      </c>
      <c r="E285" s="150" t="s">
        <v>398</v>
      </c>
      <c r="F285" s="151" t="s">
        <v>683</v>
      </c>
      <c r="G285" s="148"/>
    </row>
    <row r="286" ht="15.75" customHeight="1">
      <c r="A286" s="148"/>
      <c r="B286" s="132" t="s">
        <v>322</v>
      </c>
      <c r="C286" s="133">
        <v>940204.0</v>
      </c>
      <c r="D286" s="149" t="s">
        <v>397</v>
      </c>
      <c r="E286" s="150" t="s">
        <v>398</v>
      </c>
      <c r="F286" s="151" t="s">
        <v>684</v>
      </c>
      <c r="G286" s="148"/>
    </row>
    <row r="287" ht="15.75" customHeight="1">
      <c r="A287" s="148"/>
      <c r="B287" s="132" t="s">
        <v>322</v>
      </c>
      <c r="C287" s="133">
        <v>940205.0</v>
      </c>
      <c r="D287" s="149" t="s">
        <v>397</v>
      </c>
      <c r="E287" s="150" t="s">
        <v>398</v>
      </c>
      <c r="F287" s="151" t="s">
        <v>685</v>
      </c>
      <c r="G287" s="148"/>
    </row>
    <row r="288" ht="15.75" customHeight="1">
      <c r="A288" s="148"/>
      <c r="B288" s="132" t="s">
        <v>322</v>
      </c>
      <c r="C288" s="133">
        <v>940206.0</v>
      </c>
      <c r="D288" s="149" t="s">
        <v>397</v>
      </c>
      <c r="E288" s="150" t="s">
        <v>398</v>
      </c>
      <c r="F288" s="151" t="s">
        <v>686</v>
      </c>
      <c r="G288" s="148"/>
    </row>
    <row r="289" ht="15.75" customHeight="1">
      <c r="A289" s="148"/>
      <c r="B289" s="132" t="s">
        <v>322</v>
      </c>
      <c r="C289" s="133">
        <v>940207.0</v>
      </c>
      <c r="D289" s="149" t="s">
        <v>397</v>
      </c>
      <c r="E289" s="150" t="s">
        <v>398</v>
      </c>
      <c r="F289" s="151" t="s">
        <v>687</v>
      </c>
      <c r="G289" s="148"/>
    </row>
    <row r="290" ht="15.75" customHeight="1">
      <c r="A290" s="148"/>
      <c r="B290" s="132" t="s">
        <v>322</v>
      </c>
      <c r="C290" s="133">
        <v>940208.0</v>
      </c>
      <c r="D290" s="149" t="s">
        <v>397</v>
      </c>
      <c r="E290" s="150" t="s">
        <v>398</v>
      </c>
      <c r="F290" s="151" t="s">
        <v>688</v>
      </c>
      <c r="G290" s="148"/>
    </row>
    <row r="291" ht="15.75" customHeight="1">
      <c r="A291" s="148"/>
      <c r="B291" s="132" t="s">
        <v>322</v>
      </c>
      <c r="C291" s="133">
        <v>940209.0</v>
      </c>
      <c r="D291" s="149" t="s">
        <v>397</v>
      </c>
      <c r="E291" s="150" t="s">
        <v>398</v>
      </c>
      <c r="F291" s="151" t="s">
        <v>689</v>
      </c>
      <c r="G291" s="148"/>
    </row>
    <row r="292" ht="15.75" customHeight="1">
      <c r="A292" s="148"/>
      <c r="B292" s="132" t="s">
        <v>322</v>
      </c>
      <c r="C292" s="133">
        <v>940210.0</v>
      </c>
      <c r="D292" s="149" t="s">
        <v>397</v>
      </c>
      <c r="E292" s="150" t="s">
        <v>398</v>
      </c>
      <c r="F292" s="151" t="s">
        <v>690</v>
      </c>
      <c r="G292" s="148"/>
    </row>
    <row r="293" ht="15.75" customHeight="1">
      <c r="A293" s="148"/>
      <c r="B293" s="132" t="s">
        <v>322</v>
      </c>
      <c r="C293" s="133">
        <v>940211.0</v>
      </c>
      <c r="D293" s="149" t="s">
        <v>397</v>
      </c>
      <c r="E293" s="150" t="s">
        <v>398</v>
      </c>
      <c r="F293" s="151" t="s">
        <v>691</v>
      </c>
      <c r="G293" s="148"/>
    </row>
    <row r="294" ht="15.75" customHeight="1">
      <c r="A294" s="148"/>
      <c r="B294" s="132" t="s">
        <v>322</v>
      </c>
      <c r="C294" s="133">
        <v>940212.0</v>
      </c>
      <c r="D294" s="149" t="s">
        <v>397</v>
      </c>
      <c r="E294" s="150" t="s">
        <v>398</v>
      </c>
      <c r="F294" s="151" t="s">
        <v>692</v>
      </c>
      <c r="G294" s="148"/>
    </row>
    <row r="295" ht="15.75" customHeight="1">
      <c r="A295" s="148"/>
      <c r="B295" s="132" t="s">
        <v>322</v>
      </c>
      <c r="C295" s="133">
        <v>940213.0</v>
      </c>
      <c r="D295" s="149" t="s">
        <v>397</v>
      </c>
      <c r="E295" s="150" t="s">
        <v>398</v>
      </c>
      <c r="F295" s="151" t="s">
        <v>693</v>
      </c>
      <c r="G295" s="148"/>
    </row>
    <row r="296" ht="15.75" customHeight="1">
      <c r="A296" s="148"/>
      <c r="B296" s="132" t="s">
        <v>322</v>
      </c>
      <c r="C296" s="133">
        <v>940214.0</v>
      </c>
      <c r="D296" s="149" t="s">
        <v>397</v>
      </c>
      <c r="E296" s="150" t="s">
        <v>398</v>
      </c>
      <c r="F296" s="151" t="s">
        <v>694</v>
      </c>
      <c r="G296" s="148"/>
    </row>
    <row r="297" ht="15.75" customHeight="1">
      <c r="A297" s="148"/>
      <c r="B297" s="132" t="s">
        <v>322</v>
      </c>
      <c r="C297" s="133">
        <v>940215.0</v>
      </c>
      <c r="D297" s="149" t="s">
        <v>397</v>
      </c>
      <c r="E297" s="150" t="s">
        <v>398</v>
      </c>
      <c r="F297" s="151" t="s">
        <v>695</v>
      </c>
      <c r="G297" s="148"/>
    </row>
    <row r="298" ht="15.75" customHeight="1">
      <c r="A298" s="148"/>
      <c r="B298" s="132" t="s">
        <v>322</v>
      </c>
      <c r="C298" s="133">
        <v>940216.0</v>
      </c>
      <c r="D298" s="149" t="s">
        <v>397</v>
      </c>
      <c r="E298" s="150" t="s">
        <v>398</v>
      </c>
      <c r="F298" s="151" t="s">
        <v>696</v>
      </c>
      <c r="G298" s="148"/>
    </row>
    <row r="299" ht="15.75" customHeight="1">
      <c r="A299" s="148"/>
      <c r="B299" s="132" t="s">
        <v>322</v>
      </c>
      <c r="C299" s="133">
        <v>940217.0</v>
      </c>
      <c r="D299" s="149" t="s">
        <v>397</v>
      </c>
      <c r="E299" s="150" t="s">
        <v>398</v>
      </c>
      <c r="F299" s="151" t="s">
        <v>697</v>
      </c>
      <c r="G299" s="148"/>
    </row>
    <row r="300" ht="15.75" customHeight="1">
      <c r="A300" s="148"/>
      <c r="B300" s="132" t="s">
        <v>322</v>
      </c>
      <c r="C300" s="133">
        <v>940218.0</v>
      </c>
      <c r="D300" s="149" t="s">
        <v>397</v>
      </c>
      <c r="E300" s="150" t="s">
        <v>398</v>
      </c>
      <c r="F300" s="151" t="s">
        <v>698</v>
      </c>
      <c r="G300" s="148"/>
    </row>
    <row r="301" ht="15.75" customHeight="1">
      <c r="A301" s="148"/>
      <c r="B301" s="132" t="s">
        <v>322</v>
      </c>
      <c r="C301" s="133">
        <v>940219.0</v>
      </c>
      <c r="D301" s="149" t="s">
        <v>397</v>
      </c>
      <c r="E301" s="150" t="s">
        <v>398</v>
      </c>
      <c r="F301" s="151" t="s">
        <v>699</v>
      </c>
      <c r="G301" s="148"/>
    </row>
    <row r="302" ht="15.75" customHeight="1">
      <c r="A302" s="148"/>
      <c r="B302" s="132" t="s">
        <v>322</v>
      </c>
      <c r="C302" s="133">
        <v>940220.0</v>
      </c>
      <c r="D302" s="149" t="s">
        <v>397</v>
      </c>
      <c r="E302" s="150" t="s">
        <v>398</v>
      </c>
      <c r="F302" s="151" t="s">
        <v>700</v>
      </c>
      <c r="G302" s="148"/>
    </row>
    <row r="303" ht="15.75" customHeight="1">
      <c r="A303" s="148"/>
      <c r="B303" s="132" t="s">
        <v>322</v>
      </c>
      <c r="C303" s="133">
        <v>940221.0</v>
      </c>
      <c r="D303" s="149" t="s">
        <v>397</v>
      </c>
      <c r="E303" s="150" t="s">
        <v>398</v>
      </c>
      <c r="F303" s="151" t="s">
        <v>701</v>
      </c>
      <c r="G303" s="148"/>
    </row>
    <row r="304" ht="15.75" customHeight="1">
      <c r="A304" s="148"/>
      <c r="B304" s="132" t="s">
        <v>322</v>
      </c>
      <c r="C304" s="133">
        <v>940222.0</v>
      </c>
      <c r="D304" s="149" t="s">
        <v>397</v>
      </c>
      <c r="E304" s="150" t="s">
        <v>398</v>
      </c>
      <c r="F304" s="151" t="s">
        <v>702</v>
      </c>
      <c r="G304" s="148"/>
    </row>
    <row r="305" ht="15.75" customHeight="1">
      <c r="A305" s="148"/>
      <c r="B305" s="132" t="s">
        <v>322</v>
      </c>
      <c r="C305" s="133">
        <v>940223.0</v>
      </c>
      <c r="D305" s="149" t="s">
        <v>397</v>
      </c>
      <c r="E305" s="150" t="s">
        <v>398</v>
      </c>
      <c r="F305" s="151" t="s">
        <v>703</v>
      </c>
      <c r="G305" s="148"/>
    </row>
    <row r="306" ht="15.75" customHeight="1">
      <c r="A306" s="148"/>
      <c r="B306" s="132" t="s">
        <v>322</v>
      </c>
      <c r="C306" s="133">
        <v>940224.0</v>
      </c>
      <c r="D306" s="149" t="s">
        <v>397</v>
      </c>
      <c r="E306" s="150" t="s">
        <v>398</v>
      </c>
      <c r="F306" s="151" t="s">
        <v>704</v>
      </c>
      <c r="G306" s="148"/>
    </row>
    <row r="307" ht="15.75" customHeight="1">
      <c r="A307" s="148"/>
      <c r="B307" s="132" t="s">
        <v>322</v>
      </c>
      <c r="C307" s="133">
        <v>940225.0</v>
      </c>
      <c r="D307" s="149" t="s">
        <v>397</v>
      </c>
      <c r="E307" s="150" t="s">
        <v>398</v>
      </c>
      <c r="F307" s="151" t="s">
        <v>705</v>
      </c>
      <c r="G307" s="148"/>
    </row>
    <row r="308" ht="15.75" customHeight="1">
      <c r="A308" s="148"/>
      <c r="B308" s="132" t="s">
        <v>322</v>
      </c>
      <c r="C308" s="133">
        <v>940226.0</v>
      </c>
      <c r="D308" s="149" t="s">
        <v>397</v>
      </c>
      <c r="E308" s="150" t="s">
        <v>398</v>
      </c>
      <c r="F308" s="151" t="s">
        <v>706</v>
      </c>
      <c r="G308" s="148"/>
    </row>
    <row r="309" ht="15.75" customHeight="1">
      <c r="A309" s="148"/>
      <c r="B309" s="132" t="s">
        <v>322</v>
      </c>
      <c r="C309" s="133">
        <v>940227.0</v>
      </c>
      <c r="D309" s="149" t="s">
        <v>397</v>
      </c>
      <c r="E309" s="150" t="s">
        <v>398</v>
      </c>
      <c r="F309" s="151" t="s">
        <v>707</v>
      </c>
      <c r="G309" s="148"/>
    </row>
    <row r="310" ht="15.75" customHeight="1">
      <c r="A310" s="148"/>
      <c r="B310" s="132" t="s">
        <v>322</v>
      </c>
      <c r="C310" s="133">
        <v>940527.0</v>
      </c>
      <c r="D310" s="149" t="s">
        <v>397</v>
      </c>
      <c r="E310" s="150" t="s">
        <v>398</v>
      </c>
      <c r="F310" s="151" t="s">
        <v>708</v>
      </c>
      <c r="G310" s="148"/>
    </row>
    <row r="311" ht="15.75" customHeight="1">
      <c r="A311" s="148"/>
      <c r="B311" s="132" t="s">
        <v>322</v>
      </c>
      <c r="C311" s="133">
        <v>940528.0</v>
      </c>
      <c r="D311" s="149" t="s">
        <v>397</v>
      </c>
      <c r="E311" s="150" t="s">
        <v>398</v>
      </c>
      <c r="F311" s="151" t="s">
        <v>709</v>
      </c>
      <c r="G311" s="148"/>
    </row>
    <row r="312" ht="15.75" customHeight="1">
      <c r="A312" s="148"/>
      <c r="B312" s="132" t="s">
        <v>322</v>
      </c>
      <c r="C312" s="133">
        <v>940529.0</v>
      </c>
      <c r="D312" s="149" t="s">
        <v>397</v>
      </c>
      <c r="E312" s="150" t="s">
        <v>398</v>
      </c>
      <c r="F312" s="151" t="s">
        <v>710</v>
      </c>
      <c r="G312" s="148"/>
    </row>
    <row r="313" ht="15.75" customHeight="1">
      <c r="A313" s="148"/>
      <c r="B313" s="132" t="s">
        <v>322</v>
      </c>
      <c r="C313" s="133">
        <v>940530.0</v>
      </c>
      <c r="D313" s="149" t="s">
        <v>397</v>
      </c>
      <c r="E313" s="150" t="s">
        <v>398</v>
      </c>
      <c r="F313" s="151" t="s">
        <v>711</v>
      </c>
      <c r="G313" s="148"/>
    </row>
    <row r="314" ht="15.75" customHeight="1">
      <c r="A314" s="148"/>
      <c r="B314" s="132" t="s">
        <v>322</v>
      </c>
      <c r="C314" s="133">
        <v>940531.0</v>
      </c>
      <c r="D314" s="149" t="s">
        <v>397</v>
      </c>
      <c r="E314" s="150" t="s">
        <v>398</v>
      </c>
      <c r="F314" s="151" t="s">
        <v>712</v>
      </c>
      <c r="G314" s="148"/>
    </row>
    <row r="315" ht="15.75" customHeight="1">
      <c r="A315" s="148"/>
      <c r="B315" s="132" t="s">
        <v>322</v>
      </c>
      <c r="C315" s="133">
        <v>940532.0</v>
      </c>
      <c r="D315" s="149" t="s">
        <v>397</v>
      </c>
      <c r="E315" s="150" t="s">
        <v>398</v>
      </c>
      <c r="F315" s="151" t="s">
        <v>713</v>
      </c>
      <c r="G315" s="148"/>
    </row>
    <row r="316" ht="15.75" customHeight="1">
      <c r="A316" s="148"/>
      <c r="B316" s="132" t="s">
        <v>322</v>
      </c>
      <c r="C316" s="133">
        <v>940533.0</v>
      </c>
      <c r="D316" s="149" t="s">
        <v>397</v>
      </c>
      <c r="E316" s="150" t="s">
        <v>398</v>
      </c>
      <c r="F316" s="151" t="s">
        <v>714</v>
      </c>
      <c r="G316" s="148"/>
    </row>
    <row r="317" ht="15.75" customHeight="1">
      <c r="A317" s="148"/>
      <c r="B317" s="132" t="s">
        <v>322</v>
      </c>
      <c r="C317" s="133">
        <v>940534.0</v>
      </c>
      <c r="D317" s="149" t="s">
        <v>397</v>
      </c>
      <c r="E317" s="150" t="s">
        <v>398</v>
      </c>
      <c r="F317" s="151" t="s">
        <v>715</v>
      </c>
      <c r="G317" s="148"/>
    </row>
    <row r="318" ht="15.75" customHeight="1">
      <c r="A318" s="148"/>
      <c r="B318" s="132" t="s">
        <v>322</v>
      </c>
      <c r="C318" s="133">
        <v>940535.0</v>
      </c>
      <c r="D318" s="149" t="s">
        <v>397</v>
      </c>
      <c r="E318" s="150" t="s">
        <v>398</v>
      </c>
      <c r="F318" s="151" t="s">
        <v>716</v>
      </c>
      <c r="G318" s="148"/>
    </row>
    <row r="319" ht="15.75" customHeight="1">
      <c r="A319" s="148"/>
      <c r="B319" s="132" t="s">
        <v>322</v>
      </c>
      <c r="C319" s="133">
        <v>940536.0</v>
      </c>
      <c r="D319" s="149" t="s">
        <v>397</v>
      </c>
      <c r="E319" s="150" t="s">
        <v>398</v>
      </c>
      <c r="F319" s="151" t="s">
        <v>717</v>
      </c>
      <c r="G319" s="148"/>
    </row>
    <row r="320" ht="15.75" customHeight="1">
      <c r="A320" s="148"/>
      <c r="B320" s="132" t="s">
        <v>322</v>
      </c>
      <c r="C320" s="133">
        <v>940537.0</v>
      </c>
      <c r="D320" s="149" t="s">
        <v>397</v>
      </c>
      <c r="E320" s="150" t="s">
        <v>398</v>
      </c>
      <c r="F320" s="151" t="s">
        <v>718</v>
      </c>
      <c r="G320" s="148"/>
    </row>
    <row r="321" ht="15.75" customHeight="1">
      <c r="A321" s="148"/>
      <c r="B321" s="132" t="s">
        <v>322</v>
      </c>
      <c r="C321" s="133">
        <v>940538.0</v>
      </c>
      <c r="D321" s="149" t="s">
        <v>397</v>
      </c>
      <c r="E321" s="150" t="s">
        <v>398</v>
      </c>
      <c r="F321" s="151" t="s">
        <v>719</v>
      </c>
      <c r="G321" s="148"/>
    </row>
    <row r="322" ht="15.75" customHeight="1">
      <c r="A322" s="148"/>
      <c r="B322" s="132" t="s">
        <v>322</v>
      </c>
      <c r="C322" s="133">
        <v>940539.0</v>
      </c>
      <c r="D322" s="149" t="s">
        <v>397</v>
      </c>
      <c r="E322" s="150" t="s">
        <v>398</v>
      </c>
      <c r="F322" s="151" t="s">
        <v>720</v>
      </c>
      <c r="G322" s="148"/>
    </row>
    <row r="323" ht="15.75" customHeight="1">
      <c r="A323" s="148"/>
      <c r="B323" s="132" t="s">
        <v>322</v>
      </c>
      <c r="C323" s="133">
        <v>940540.0</v>
      </c>
      <c r="D323" s="149" t="s">
        <v>397</v>
      </c>
      <c r="E323" s="150" t="s">
        <v>398</v>
      </c>
      <c r="F323" s="151" t="s">
        <v>721</v>
      </c>
      <c r="G323" s="148"/>
    </row>
    <row r="324" ht="15.75" customHeight="1">
      <c r="A324" s="148"/>
      <c r="B324" s="132" t="s">
        <v>322</v>
      </c>
      <c r="C324" s="133">
        <v>940541.0</v>
      </c>
      <c r="D324" s="149" t="s">
        <v>397</v>
      </c>
      <c r="E324" s="150" t="s">
        <v>398</v>
      </c>
      <c r="F324" s="151" t="s">
        <v>722</v>
      </c>
      <c r="G324" s="148"/>
    </row>
    <row r="325" ht="15.75" customHeight="1">
      <c r="A325" s="148"/>
      <c r="B325" s="132" t="s">
        <v>322</v>
      </c>
      <c r="C325" s="133">
        <v>940542.0</v>
      </c>
      <c r="D325" s="149" t="s">
        <v>397</v>
      </c>
      <c r="E325" s="150" t="s">
        <v>398</v>
      </c>
      <c r="F325" s="151" t="s">
        <v>723</v>
      </c>
      <c r="G325" s="148"/>
    </row>
    <row r="326" ht="15.75" customHeight="1">
      <c r="A326" s="148"/>
      <c r="B326" s="132" t="s">
        <v>322</v>
      </c>
      <c r="C326" s="133">
        <v>940543.0</v>
      </c>
      <c r="D326" s="149" t="s">
        <v>397</v>
      </c>
      <c r="E326" s="150" t="s">
        <v>398</v>
      </c>
      <c r="F326" s="151" t="s">
        <v>724</v>
      </c>
      <c r="G326" s="148"/>
    </row>
    <row r="327" ht="15.75" customHeight="1">
      <c r="A327" s="148"/>
      <c r="B327" s="132" t="s">
        <v>322</v>
      </c>
      <c r="C327" s="133">
        <v>940544.0</v>
      </c>
      <c r="D327" s="149" t="s">
        <v>397</v>
      </c>
      <c r="E327" s="150" t="s">
        <v>398</v>
      </c>
      <c r="F327" s="151" t="s">
        <v>725</v>
      </c>
      <c r="G327" s="148"/>
    </row>
    <row r="328" ht="15.75" customHeight="1">
      <c r="A328" s="148"/>
      <c r="B328" s="132" t="s">
        <v>322</v>
      </c>
      <c r="C328" s="133">
        <v>940545.0</v>
      </c>
      <c r="D328" s="149" t="s">
        <v>397</v>
      </c>
      <c r="E328" s="150" t="s">
        <v>398</v>
      </c>
      <c r="F328" s="151" t="s">
        <v>726</v>
      </c>
      <c r="G328" s="148"/>
    </row>
    <row r="329" ht="15.75" customHeight="1">
      <c r="A329" s="148"/>
      <c r="B329" s="132" t="s">
        <v>322</v>
      </c>
      <c r="C329" s="133">
        <v>940546.0</v>
      </c>
      <c r="D329" s="149" t="s">
        <v>397</v>
      </c>
      <c r="E329" s="150" t="s">
        <v>398</v>
      </c>
      <c r="F329" s="151" t="s">
        <v>727</v>
      </c>
      <c r="G329" s="148"/>
    </row>
    <row r="330" ht="15.75" customHeight="1">
      <c r="A330" s="148"/>
      <c r="B330" s="132" t="s">
        <v>322</v>
      </c>
      <c r="C330" s="133">
        <v>940547.0</v>
      </c>
      <c r="D330" s="149" t="s">
        <v>397</v>
      </c>
      <c r="E330" s="150" t="s">
        <v>398</v>
      </c>
      <c r="F330" s="151" t="s">
        <v>728</v>
      </c>
      <c r="G330" s="148"/>
    </row>
    <row r="331" ht="15.75" customHeight="1">
      <c r="A331" s="148"/>
      <c r="B331" s="132" t="s">
        <v>322</v>
      </c>
      <c r="C331" s="133">
        <v>940548.0</v>
      </c>
      <c r="D331" s="149" t="s">
        <v>397</v>
      </c>
      <c r="E331" s="150" t="s">
        <v>398</v>
      </c>
      <c r="F331" s="151" t="s">
        <v>729</v>
      </c>
      <c r="G331" s="148"/>
    </row>
    <row r="332" ht="15.75" customHeight="1">
      <c r="A332" s="148"/>
      <c r="B332" s="132" t="s">
        <v>322</v>
      </c>
      <c r="C332" s="133">
        <v>940549.0</v>
      </c>
      <c r="D332" s="149" t="s">
        <v>397</v>
      </c>
      <c r="E332" s="150" t="s">
        <v>398</v>
      </c>
      <c r="F332" s="151" t="s">
        <v>730</v>
      </c>
      <c r="G332" s="148"/>
    </row>
    <row r="333" ht="15.75" customHeight="1">
      <c r="A333" s="148"/>
      <c r="B333" s="132" t="s">
        <v>322</v>
      </c>
      <c r="C333" s="133">
        <v>940550.0</v>
      </c>
      <c r="D333" s="149" t="s">
        <v>397</v>
      </c>
      <c r="E333" s="150" t="s">
        <v>398</v>
      </c>
      <c r="F333" s="151" t="s">
        <v>731</v>
      </c>
      <c r="G333" s="148"/>
    </row>
    <row r="334" ht="15.75" customHeight="1">
      <c r="A334" s="148"/>
      <c r="B334" s="132" t="s">
        <v>322</v>
      </c>
      <c r="C334" s="133">
        <v>940551.0</v>
      </c>
      <c r="D334" s="149" t="s">
        <v>397</v>
      </c>
      <c r="E334" s="150" t="s">
        <v>398</v>
      </c>
      <c r="F334" s="151" t="s">
        <v>732</v>
      </c>
      <c r="G334" s="148"/>
    </row>
    <row r="335" ht="15.75" customHeight="1">
      <c r="A335" s="148"/>
      <c r="B335" s="132" t="s">
        <v>322</v>
      </c>
      <c r="C335" s="133">
        <v>940552.0</v>
      </c>
      <c r="D335" s="149" t="s">
        <v>397</v>
      </c>
      <c r="E335" s="150" t="s">
        <v>398</v>
      </c>
      <c r="F335" s="151" t="s">
        <v>733</v>
      </c>
      <c r="G335" s="148"/>
    </row>
    <row r="336" ht="15.75" customHeight="1">
      <c r="A336" s="148"/>
      <c r="B336" s="132" t="s">
        <v>322</v>
      </c>
      <c r="C336" s="133">
        <v>940553.0</v>
      </c>
      <c r="D336" s="149" t="s">
        <v>397</v>
      </c>
      <c r="E336" s="150" t="s">
        <v>398</v>
      </c>
      <c r="F336" s="151" t="s">
        <v>734</v>
      </c>
      <c r="G336" s="148"/>
    </row>
    <row r="337" ht="15.75" customHeight="1">
      <c r="A337" s="148"/>
      <c r="B337" s="132" t="s">
        <v>322</v>
      </c>
      <c r="C337" s="133">
        <v>940554.0</v>
      </c>
      <c r="D337" s="149" t="s">
        <v>397</v>
      </c>
      <c r="E337" s="150" t="s">
        <v>398</v>
      </c>
      <c r="F337" s="151" t="s">
        <v>735</v>
      </c>
      <c r="G337" s="148"/>
    </row>
    <row r="338" ht="15.75" customHeight="1">
      <c r="A338" s="148"/>
      <c r="B338" s="132" t="s">
        <v>322</v>
      </c>
      <c r="C338" s="133">
        <v>940555.0</v>
      </c>
      <c r="D338" s="152" t="s">
        <v>543</v>
      </c>
      <c r="E338" s="125" t="s">
        <v>296</v>
      </c>
      <c r="F338" s="151" t="s">
        <v>736</v>
      </c>
      <c r="G338" s="148"/>
    </row>
    <row r="339" ht="15.75" customHeight="1">
      <c r="A339" s="148"/>
      <c r="B339" s="132" t="s">
        <v>322</v>
      </c>
      <c r="C339" s="133">
        <v>940556.0</v>
      </c>
      <c r="D339" s="152" t="s">
        <v>543</v>
      </c>
      <c r="E339" s="125" t="s">
        <v>296</v>
      </c>
      <c r="F339" s="151" t="s">
        <v>737</v>
      </c>
      <c r="G339" s="148"/>
    </row>
    <row r="340" ht="15.75" customHeight="1">
      <c r="A340" s="148"/>
      <c r="B340" s="132" t="s">
        <v>322</v>
      </c>
      <c r="C340" s="133">
        <v>940557.0</v>
      </c>
      <c r="D340" s="152" t="s">
        <v>543</v>
      </c>
      <c r="E340" s="125" t="s">
        <v>296</v>
      </c>
      <c r="F340" s="151" t="s">
        <v>738</v>
      </c>
      <c r="G340" s="148"/>
    </row>
    <row r="341" ht="15.75" customHeight="1">
      <c r="A341" s="148"/>
      <c r="B341" s="132" t="s">
        <v>322</v>
      </c>
      <c r="C341" s="133">
        <v>940558.0</v>
      </c>
      <c r="D341" s="152" t="s">
        <v>543</v>
      </c>
      <c r="E341" s="125" t="s">
        <v>296</v>
      </c>
      <c r="F341" s="151" t="s">
        <v>739</v>
      </c>
      <c r="G341" s="148"/>
    </row>
    <row r="342" ht="15.75" customHeight="1">
      <c r="A342" s="148"/>
      <c r="B342" s="132" t="s">
        <v>322</v>
      </c>
      <c r="C342" s="133">
        <v>940559.0</v>
      </c>
      <c r="D342" s="152" t="s">
        <v>543</v>
      </c>
      <c r="E342" s="125" t="s">
        <v>296</v>
      </c>
      <c r="F342" s="151" t="s">
        <v>740</v>
      </c>
      <c r="G342" s="148"/>
    </row>
    <row r="343" ht="15.75" customHeight="1">
      <c r="A343" s="148"/>
      <c r="B343" s="132" t="s">
        <v>322</v>
      </c>
      <c r="C343" s="133">
        <v>940560.0</v>
      </c>
      <c r="D343" s="152" t="s">
        <v>543</v>
      </c>
      <c r="E343" s="125" t="s">
        <v>296</v>
      </c>
      <c r="F343" s="151" t="s">
        <v>741</v>
      </c>
      <c r="G343" s="148"/>
    </row>
    <row r="344" ht="15.75" customHeight="1">
      <c r="A344" s="148"/>
      <c r="B344" s="132" t="s">
        <v>322</v>
      </c>
      <c r="C344" s="133">
        <v>940561.0</v>
      </c>
      <c r="D344" s="149" t="s">
        <v>397</v>
      </c>
      <c r="E344" s="150" t="s">
        <v>398</v>
      </c>
      <c r="F344" s="151" t="s">
        <v>742</v>
      </c>
      <c r="G344" s="148"/>
    </row>
    <row r="345" ht="15.75" customHeight="1">
      <c r="A345" s="148"/>
      <c r="B345" s="132" t="s">
        <v>322</v>
      </c>
      <c r="C345" s="133">
        <v>940562.0</v>
      </c>
      <c r="D345" s="149" t="s">
        <v>397</v>
      </c>
      <c r="E345" s="150" t="s">
        <v>398</v>
      </c>
      <c r="F345" s="151" t="s">
        <v>743</v>
      </c>
      <c r="G345" s="148"/>
    </row>
    <row r="346" ht="15.75" customHeight="1">
      <c r="A346" s="148"/>
      <c r="B346" s="132" t="s">
        <v>322</v>
      </c>
      <c r="C346" s="133">
        <v>940563.0</v>
      </c>
      <c r="D346" s="149" t="s">
        <v>397</v>
      </c>
      <c r="E346" s="150" t="s">
        <v>398</v>
      </c>
      <c r="F346" s="151" t="s">
        <v>744</v>
      </c>
      <c r="G346" s="148"/>
    </row>
    <row r="347" ht="15.75" customHeight="1">
      <c r="A347" s="148"/>
      <c r="B347" s="132" t="s">
        <v>322</v>
      </c>
      <c r="C347" s="133">
        <v>940564.0</v>
      </c>
      <c r="D347" s="149" t="s">
        <v>397</v>
      </c>
      <c r="E347" s="150" t="s">
        <v>398</v>
      </c>
      <c r="F347" s="151" t="s">
        <v>745</v>
      </c>
      <c r="G347" s="148"/>
    </row>
    <row r="348" ht="15.75" customHeight="1">
      <c r="A348" s="148"/>
      <c r="B348" s="132" t="s">
        <v>322</v>
      </c>
      <c r="C348" s="133">
        <v>940565.0</v>
      </c>
      <c r="D348" s="149" t="s">
        <v>397</v>
      </c>
      <c r="E348" s="150" t="s">
        <v>398</v>
      </c>
      <c r="F348" s="151" t="s">
        <v>746</v>
      </c>
      <c r="G348" s="148"/>
    </row>
    <row r="349" ht="15.75" customHeight="1">
      <c r="A349" s="148"/>
      <c r="B349" s="132" t="s">
        <v>322</v>
      </c>
      <c r="C349" s="133">
        <v>940566.0</v>
      </c>
      <c r="D349" s="149" t="s">
        <v>397</v>
      </c>
      <c r="E349" s="150" t="s">
        <v>398</v>
      </c>
      <c r="F349" s="151" t="s">
        <v>747</v>
      </c>
      <c r="G349" s="148"/>
    </row>
    <row r="350" ht="15.75" customHeight="1">
      <c r="A350" s="148"/>
      <c r="B350" s="132" t="s">
        <v>322</v>
      </c>
      <c r="C350" s="133">
        <v>940573.0</v>
      </c>
      <c r="D350" s="149" t="s">
        <v>397</v>
      </c>
      <c r="E350" s="150" t="s">
        <v>398</v>
      </c>
      <c r="F350" s="151" t="s">
        <v>748</v>
      </c>
      <c r="G350" s="148"/>
    </row>
    <row r="351" ht="15.75" customHeight="1">
      <c r="A351" s="148"/>
      <c r="B351" s="132" t="s">
        <v>322</v>
      </c>
      <c r="C351" s="133">
        <v>940901.0</v>
      </c>
      <c r="D351" s="149" t="s">
        <v>397</v>
      </c>
      <c r="E351" s="150" t="s">
        <v>398</v>
      </c>
      <c r="F351" s="151" t="s">
        <v>749</v>
      </c>
      <c r="G351" s="148"/>
    </row>
    <row r="352" ht="15.75" customHeight="1">
      <c r="A352" s="148"/>
      <c r="B352" s="132" t="s">
        <v>322</v>
      </c>
      <c r="C352" s="133">
        <v>940902.0</v>
      </c>
      <c r="D352" s="149" t="s">
        <v>397</v>
      </c>
      <c r="E352" s="150" t="s">
        <v>398</v>
      </c>
      <c r="F352" s="151" t="s">
        <v>750</v>
      </c>
      <c r="G352" s="148"/>
    </row>
    <row r="353" ht="15.75" customHeight="1">
      <c r="A353" s="148"/>
      <c r="B353" s="132" t="s">
        <v>322</v>
      </c>
      <c r="C353" s="133">
        <v>940903.0</v>
      </c>
      <c r="D353" s="149" t="s">
        <v>397</v>
      </c>
      <c r="E353" s="150" t="s">
        <v>398</v>
      </c>
      <c r="F353" s="151" t="s">
        <v>751</v>
      </c>
      <c r="G353" s="148"/>
    </row>
    <row r="354" ht="15.75" customHeight="1">
      <c r="A354" s="148"/>
      <c r="B354" s="132" t="s">
        <v>322</v>
      </c>
      <c r="C354" s="133">
        <v>940904.0</v>
      </c>
      <c r="D354" s="149" t="s">
        <v>397</v>
      </c>
      <c r="E354" s="150" t="s">
        <v>398</v>
      </c>
      <c r="F354" s="151" t="s">
        <v>752</v>
      </c>
      <c r="G354" s="148"/>
    </row>
    <row r="355" ht="15.75" customHeight="1">
      <c r="A355" s="148"/>
      <c r="B355" s="132" t="s">
        <v>322</v>
      </c>
      <c r="C355" s="133">
        <v>940905.0</v>
      </c>
      <c r="D355" s="149" t="s">
        <v>397</v>
      </c>
      <c r="E355" s="150" t="s">
        <v>398</v>
      </c>
      <c r="F355" s="151" t="s">
        <v>753</v>
      </c>
      <c r="G355" s="148"/>
    </row>
    <row r="356" ht="15.75" customHeight="1">
      <c r="A356" s="148"/>
      <c r="B356" s="132" t="s">
        <v>322</v>
      </c>
      <c r="C356" s="133">
        <v>940906.0</v>
      </c>
      <c r="D356" s="149" t="s">
        <v>397</v>
      </c>
      <c r="E356" s="150" t="s">
        <v>398</v>
      </c>
      <c r="F356" s="151" t="s">
        <v>754</v>
      </c>
      <c r="G356" s="148"/>
    </row>
    <row r="357" ht="15.75" customHeight="1">
      <c r="A357" s="148"/>
      <c r="B357" s="132" t="s">
        <v>322</v>
      </c>
      <c r="C357" s="133">
        <v>940907.0</v>
      </c>
      <c r="D357" s="149" t="s">
        <v>397</v>
      </c>
      <c r="E357" s="150" t="s">
        <v>398</v>
      </c>
      <c r="F357" s="151" t="s">
        <v>755</v>
      </c>
      <c r="G357" s="148"/>
    </row>
    <row r="358" ht="15.75" customHeight="1">
      <c r="A358" s="148"/>
      <c r="B358" s="132" t="s">
        <v>322</v>
      </c>
      <c r="C358" s="133">
        <v>940908.0</v>
      </c>
      <c r="D358" s="149" t="s">
        <v>397</v>
      </c>
      <c r="E358" s="150" t="s">
        <v>398</v>
      </c>
      <c r="F358" s="151" t="s">
        <v>756</v>
      </c>
      <c r="G358" s="148"/>
    </row>
    <row r="359" ht="15.75" customHeight="1">
      <c r="A359" s="148"/>
      <c r="B359" s="132" t="s">
        <v>322</v>
      </c>
      <c r="C359" s="133">
        <v>940909.0</v>
      </c>
      <c r="D359" s="149" t="s">
        <v>397</v>
      </c>
      <c r="E359" s="150" t="s">
        <v>398</v>
      </c>
      <c r="F359" s="151" t="s">
        <v>757</v>
      </c>
      <c r="G359" s="148"/>
    </row>
    <row r="360" ht="15.75" customHeight="1">
      <c r="A360" s="148"/>
      <c r="B360" s="132" t="s">
        <v>322</v>
      </c>
      <c r="C360" s="133">
        <v>940910.0</v>
      </c>
      <c r="D360" s="149" t="s">
        <v>397</v>
      </c>
      <c r="E360" s="150" t="s">
        <v>398</v>
      </c>
      <c r="F360" s="151" t="s">
        <v>758</v>
      </c>
      <c r="G360" s="148"/>
    </row>
    <row r="361" ht="15.75" customHeight="1">
      <c r="A361" s="148"/>
      <c r="B361" s="132" t="s">
        <v>322</v>
      </c>
      <c r="C361" s="133">
        <v>940911.0</v>
      </c>
      <c r="D361" s="149" t="s">
        <v>397</v>
      </c>
      <c r="E361" s="150" t="s">
        <v>398</v>
      </c>
      <c r="F361" s="151" t="s">
        <v>759</v>
      </c>
      <c r="G361" s="148"/>
    </row>
    <row r="362" ht="15.75" customHeight="1">
      <c r="A362" s="148"/>
      <c r="B362" s="132" t="s">
        <v>322</v>
      </c>
      <c r="C362" s="133">
        <v>940912.0</v>
      </c>
      <c r="D362" s="149" t="s">
        <v>397</v>
      </c>
      <c r="E362" s="150" t="s">
        <v>398</v>
      </c>
      <c r="F362" s="151" t="s">
        <v>760</v>
      </c>
      <c r="G362" s="148"/>
    </row>
    <row r="363" ht="15.75" customHeight="1">
      <c r="A363" s="148"/>
      <c r="B363" s="132" t="s">
        <v>322</v>
      </c>
      <c r="C363" s="133">
        <v>940913.0</v>
      </c>
      <c r="D363" s="149" t="s">
        <v>397</v>
      </c>
      <c r="E363" s="150" t="s">
        <v>398</v>
      </c>
      <c r="F363" s="151" t="s">
        <v>761</v>
      </c>
      <c r="G363" s="148"/>
    </row>
    <row r="364" ht="15.75" customHeight="1">
      <c r="A364" s="148"/>
      <c r="B364" s="132" t="s">
        <v>322</v>
      </c>
      <c r="C364" s="133">
        <v>940914.0</v>
      </c>
      <c r="D364" s="149" t="s">
        <v>397</v>
      </c>
      <c r="E364" s="150" t="s">
        <v>398</v>
      </c>
      <c r="F364" s="151" t="s">
        <v>762</v>
      </c>
      <c r="G364" s="148"/>
    </row>
    <row r="365" ht="15.75" customHeight="1">
      <c r="A365" s="148"/>
      <c r="B365" s="132" t="s">
        <v>322</v>
      </c>
      <c r="C365" s="133">
        <v>940915.0</v>
      </c>
      <c r="D365" s="149" t="s">
        <v>397</v>
      </c>
      <c r="E365" s="150" t="s">
        <v>398</v>
      </c>
      <c r="F365" s="151" t="s">
        <v>763</v>
      </c>
      <c r="G365" s="148"/>
    </row>
    <row r="366" ht="15.75" customHeight="1">
      <c r="A366" s="148"/>
      <c r="B366" s="132" t="s">
        <v>322</v>
      </c>
      <c r="C366" s="133">
        <v>940916.0</v>
      </c>
      <c r="D366" s="149" t="s">
        <v>397</v>
      </c>
      <c r="E366" s="150" t="s">
        <v>398</v>
      </c>
      <c r="F366" s="151" t="s">
        <v>764</v>
      </c>
      <c r="G366" s="148"/>
    </row>
    <row r="367" ht="15.75" customHeight="1">
      <c r="A367" s="148"/>
      <c r="B367" s="132" t="s">
        <v>322</v>
      </c>
      <c r="C367" s="133">
        <v>940917.0</v>
      </c>
      <c r="D367" s="149" t="s">
        <v>397</v>
      </c>
      <c r="E367" s="150" t="s">
        <v>398</v>
      </c>
      <c r="F367" s="151" t="s">
        <v>765</v>
      </c>
      <c r="G367" s="148"/>
    </row>
    <row r="368" ht="15.75" customHeight="1">
      <c r="A368" s="148"/>
      <c r="B368" s="132" t="s">
        <v>322</v>
      </c>
      <c r="C368" s="133">
        <v>940918.0</v>
      </c>
      <c r="D368" s="149" t="s">
        <v>397</v>
      </c>
      <c r="E368" s="150" t="s">
        <v>398</v>
      </c>
      <c r="F368" s="151" t="s">
        <v>766</v>
      </c>
      <c r="G368" s="148"/>
    </row>
    <row r="369" ht="15.75" customHeight="1">
      <c r="A369" s="148"/>
      <c r="B369" s="132" t="s">
        <v>322</v>
      </c>
      <c r="C369" s="133">
        <v>940919.0</v>
      </c>
      <c r="D369" s="149" t="s">
        <v>397</v>
      </c>
      <c r="E369" s="150" t="s">
        <v>398</v>
      </c>
      <c r="F369" s="151" t="s">
        <v>767</v>
      </c>
      <c r="G369" s="148"/>
    </row>
    <row r="370" ht="15.75" customHeight="1">
      <c r="A370" s="148"/>
      <c r="B370" s="132" t="s">
        <v>322</v>
      </c>
      <c r="C370" s="133">
        <v>940920.0</v>
      </c>
      <c r="D370" s="149" t="s">
        <v>397</v>
      </c>
      <c r="E370" s="150" t="s">
        <v>398</v>
      </c>
      <c r="F370" s="151" t="s">
        <v>768</v>
      </c>
      <c r="G370" s="148"/>
    </row>
    <row r="371" ht="15.75" customHeight="1">
      <c r="A371" s="148"/>
      <c r="B371" s="132" t="s">
        <v>322</v>
      </c>
      <c r="C371" s="133">
        <v>940921.0</v>
      </c>
      <c r="D371" s="149" t="s">
        <v>397</v>
      </c>
      <c r="E371" s="150" t="s">
        <v>398</v>
      </c>
      <c r="F371" s="151" t="s">
        <v>769</v>
      </c>
      <c r="G371" s="148"/>
    </row>
    <row r="372" ht="15.75" customHeight="1">
      <c r="A372" s="148"/>
      <c r="B372" s="132" t="s">
        <v>322</v>
      </c>
      <c r="C372" s="133">
        <v>940922.0</v>
      </c>
      <c r="D372" s="149" t="s">
        <v>397</v>
      </c>
      <c r="E372" s="150" t="s">
        <v>398</v>
      </c>
      <c r="F372" s="151" t="s">
        <v>770</v>
      </c>
      <c r="G372" s="148"/>
    </row>
    <row r="373" ht="15.75" customHeight="1">
      <c r="A373" s="148"/>
      <c r="B373" s="132" t="s">
        <v>322</v>
      </c>
      <c r="C373" s="133">
        <v>940923.0</v>
      </c>
      <c r="D373" s="149" t="s">
        <v>397</v>
      </c>
      <c r="E373" s="150" t="s">
        <v>398</v>
      </c>
      <c r="F373" s="151" t="s">
        <v>771</v>
      </c>
      <c r="G373" s="148"/>
    </row>
    <row r="374" ht="15.75" customHeight="1">
      <c r="A374" s="148"/>
      <c r="B374" s="132" t="s">
        <v>322</v>
      </c>
      <c r="C374" s="133">
        <v>940924.0</v>
      </c>
      <c r="D374" s="149" t="s">
        <v>397</v>
      </c>
      <c r="E374" s="150" t="s">
        <v>398</v>
      </c>
      <c r="F374" s="151" t="s">
        <v>772</v>
      </c>
      <c r="G374" s="148"/>
    </row>
    <row r="375" ht="15.75" customHeight="1">
      <c r="A375" s="148"/>
      <c r="B375" s="132" t="s">
        <v>322</v>
      </c>
      <c r="C375" s="133">
        <v>940925.0</v>
      </c>
      <c r="D375" s="149" t="s">
        <v>397</v>
      </c>
      <c r="E375" s="150" t="s">
        <v>398</v>
      </c>
      <c r="F375" s="151" t="s">
        <v>773</v>
      </c>
      <c r="G375" s="148"/>
    </row>
    <row r="376" ht="15.75" customHeight="1">
      <c r="A376" s="148"/>
      <c r="B376" s="132" t="s">
        <v>322</v>
      </c>
      <c r="C376" s="133">
        <v>940926.0</v>
      </c>
      <c r="D376" s="149" t="s">
        <v>397</v>
      </c>
      <c r="E376" s="150" t="s">
        <v>398</v>
      </c>
      <c r="F376" s="151" t="s">
        <v>774</v>
      </c>
      <c r="G376" s="148"/>
    </row>
    <row r="377" ht="15.75" customHeight="1">
      <c r="A377" s="148"/>
      <c r="B377" s="132" t="s">
        <v>322</v>
      </c>
      <c r="C377" s="133">
        <v>940927.0</v>
      </c>
      <c r="D377" s="149" t="s">
        <v>397</v>
      </c>
      <c r="E377" s="150" t="s">
        <v>398</v>
      </c>
      <c r="F377" s="151" t="s">
        <v>775</v>
      </c>
      <c r="G377" s="148"/>
    </row>
    <row r="378" ht="15.75" customHeight="1">
      <c r="A378" s="148"/>
      <c r="B378" s="132" t="s">
        <v>322</v>
      </c>
      <c r="C378" s="133">
        <v>940928.0</v>
      </c>
      <c r="D378" s="149" t="s">
        <v>397</v>
      </c>
      <c r="E378" s="150" t="s">
        <v>398</v>
      </c>
      <c r="F378" s="151" t="s">
        <v>776</v>
      </c>
      <c r="G378" s="148"/>
    </row>
    <row r="379" ht="15.75" customHeight="1">
      <c r="A379" s="148"/>
      <c r="B379" s="132" t="s">
        <v>322</v>
      </c>
      <c r="C379" s="133">
        <v>940929.0</v>
      </c>
      <c r="D379" s="149" t="s">
        <v>397</v>
      </c>
      <c r="E379" s="150" t="s">
        <v>398</v>
      </c>
      <c r="F379" s="151" t="s">
        <v>777</v>
      </c>
      <c r="G379" s="148"/>
    </row>
    <row r="380" ht="15.75" customHeight="1">
      <c r="A380" s="148"/>
      <c r="B380" s="132" t="s">
        <v>322</v>
      </c>
      <c r="C380" s="133">
        <v>940934.0</v>
      </c>
      <c r="D380" s="149" t="s">
        <v>397</v>
      </c>
      <c r="E380" s="150" t="s">
        <v>398</v>
      </c>
      <c r="F380" s="151" t="s">
        <v>778</v>
      </c>
      <c r="G380" s="148"/>
    </row>
    <row r="381" ht="15.75" customHeight="1">
      <c r="A381" s="148"/>
      <c r="B381" s="132" t="s">
        <v>322</v>
      </c>
      <c r="C381" s="133">
        <v>940935.0</v>
      </c>
      <c r="D381" s="149" t="s">
        <v>397</v>
      </c>
      <c r="E381" s="150" t="s">
        <v>398</v>
      </c>
      <c r="F381" s="151" t="s">
        <v>779</v>
      </c>
      <c r="G381" s="148"/>
    </row>
    <row r="382" ht="15.75" customHeight="1">
      <c r="A382" s="148"/>
      <c r="B382" s="132" t="s">
        <v>322</v>
      </c>
      <c r="C382" s="133">
        <v>940936.0</v>
      </c>
      <c r="D382" s="149" t="s">
        <v>397</v>
      </c>
      <c r="E382" s="150" t="s">
        <v>398</v>
      </c>
      <c r="F382" s="151" t="s">
        <v>780</v>
      </c>
      <c r="G382" s="148"/>
    </row>
    <row r="383" ht="15.75" customHeight="1">
      <c r="A383" s="148"/>
      <c r="B383" s="132" t="s">
        <v>322</v>
      </c>
      <c r="C383" s="133">
        <v>940937.0</v>
      </c>
      <c r="D383" s="149" t="s">
        <v>397</v>
      </c>
      <c r="E383" s="150" t="s">
        <v>398</v>
      </c>
      <c r="F383" s="151" t="s">
        <v>781</v>
      </c>
      <c r="G383" s="148"/>
    </row>
    <row r="384" ht="15.75" customHeight="1">
      <c r="A384" s="148"/>
      <c r="B384" s="132" t="s">
        <v>322</v>
      </c>
      <c r="C384" s="133">
        <v>940938.0</v>
      </c>
      <c r="D384" s="149" t="s">
        <v>397</v>
      </c>
      <c r="E384" s="150" t="s">
        <v>398</v>
      </c>
      <c r="F384" s="151" t="s">
        <v>782</v>
      </c>
      <c r="G384" s="148"/>
    </row>
    <row r="385" ht="15.75" customHeight="1">
      <c r="A385" s="148"/>
      <c r="B385" s="132" t="s">
        <v>322</v>
      </c>
      <c r="C385" s="133">
        <v>940939.0</v>
      </c>
      <c r="D385" s="149" t="s">
        <v>397</v>
      </c>
      <c r="E385" s="150" t="s">
        <v>398</v>
      </c>
      <c r="F385" s="151" t="s">
        <v>783</v>
      </c>
      <c r="G385" s="148"/>
    </row>
    <row r="386" ht="15.75" customHeight="1">
      <c r="A386" s="148"/>
      <c r="B386" s="132" t="s">
        <v>322</v>
      </c>
      <c r="C386" s="133">
        <v>940940.0</v>
      </c>
      <c r="D386" s="149" t="s">
        <v>397</v>
      </c>
      <c r="E386" s="150" t="s">
        <v>398</v>
      </c>
      <c r="F386" s="151" t="s">
        <v>784</v>
      </c>
      <c r="G386" s="148"/>
    </row>
    <row r="387" ht="15.75" customHeight="1">
      <c r="A387" s="148"/>
      <c r="B387" s="132" t="s">
        <v>322</v>
      </c>
      <c r="C387" s="133">
        <v>940941.0</v>
      </c>
      <c r="D387" s="149" t="s">
        <v>397</v>
      </c>
      <c r="E387" s="150" t="s">
        <v>398</v>
      </c>
      <c r="F387" s="151" t="s">
        <v>785</v>
      </c>
      <c r="G387" s="148"/>
    </row>
    <row r="388" ht="15.75" customHeight="1">
      <c r="A388" s="148"/>
      <c r="B388" s="132" t="s">
        <v>322</v>
      </c>
      <c r="C388" s="133">
        <v>940942.0</v>
      </c>
      <c r="D388" s="149" t="s">
        <v>397</v>
      </c>
      <c r="E388" s="150" t="s">
        <v>398</v>
      </c>
      <c r="F388" s="151" t="s">
        <v>786</v>
      </c>
      <c r="G388" s="148"/>
    </row>
    <row r="389" ht="15.75" customHeight="1">
      <c r="A389" s="148"/>
      <c r="B389" s="132" t="s">
        <v>322</v>
      </c>
      <c r="C389" s="133">
        <v>940943.0</v>
      </c>
      <c r="D389" s="149" t="s">
        <v>397</v>
      </c>
      <c r="E389" s="150" t="s">
        <v>398</v>
      </c>
      <c r="F389" s="151" t="s">
        <v>787</v>
      </c>
      <c r="G389" s="148"/>
    </row>
    <row r="390" ht="15.75" customHeight="1">
      <c r="A390" s="148"/>
      <c r="B390" s="132" t="s">
        <v>322</v>
      </c>
      <c r="C390" s="133">
        <v>940944.0</v>
      </c>
      <c r="D390" s="149" t="s">
        <v>397</v>
      </c>
      <c r="E390" s="150" t="s">
        <v>398</v>
      </c>
      <c r="F390" s="151" t="s">
        <v>788</v>
      </c>
      <c r="G390" s="148"/>
    </row>
    <row r="391" ht="15.75" customHeight="1">
      <c r="A391" s="148"/>
      <c r="B391" s="132" t="s">
        <v>322</v>
      </c>
      <c r="C391" s="133">
        <v>940945.0</v>
      </c>
      <c r="D391" s="149" t="s">
        <v>397</v>
      </c>
      <c r="E391" s="150" t="s">
        <v>398</v>
      </c>
      <c r="F391" s="151" t="s">
        <v>789</v>
      </c>
      <c r="G391" s="148"/>
    </row>
    <row r="392" ht="15.75" customHeight="1">
      <c r="A392" s="148"/>
      <c r="B392" s="132" t="s">
        <v>322</v>
      </c>
      <c r="C392" s="133">
        <v>940946.0</v>
      </c>
      <c r="D392" s="149" t="s">
        <v>397</v>
      </c>
      <c r="E392" s="150" t="s">
        <v>398</v>
      </c>
      <c r="F392" s="151" t="s">
        <v>790</v>
      </c>
      <c r="G392" s="148"/>
    </row>
    <row r="393" ht="15.75" customHeight="1">
      <c r="A393" s="148"/>
      <c r="B393" s="132" t="s">
        <v>322</v>
      </c>
      <c r="C393" s="133">
        <v>940947.0</v>
      </c>
      <c r="D393" s="149" t="s">
        <v>397</v>
      </c>
      <c r="E393" s="150" t="s">
        <v>398</v>
      </c>
      <c r="F393" s="151" t="s">
        <v>791</v>
      </c>
      <c r="G393" s="148"/>
    </row>
    <row r="394" ht="15.75" customHeight="1">
      <c r="A394" s="148"/>
      <c r="B394" s="132" t="s">
        <v>322</v>
      </c>
      <c r="C394" s="133">
        <v>940948.0</v>
      </c>
      <c r="D394" s="149" t="s">
        <v>397</v>
      </c>
      <c r="E394" s="150" t="s">
        <v>398</v>
      </c>
      <c r="F394" s="151" t="s">
        <v>792</v>
      </c>
      <c r="G394" s="148"/>
    </row>
    <row r="395" ht="15.75" customHeight="1">
      <c r="A395" s="148"/>
      <c r="B395" s="132" t="s">
        <v>322</v>
      </c>
      <c r="C395" s="133">
        <v>940949.0</v>
      </c>
      <c r="D395" s="149" t="s">
        <v>397</v>
      </c>
      <c r="E395" s="150" t="s">
        <v>398</v>
      </c>
      <c r="F395" s="151" t="s">
        <v>793</v>
      </c>
      <c r="G395" s="148"/>
    </row>
    <row r="396" ht="15.75" customHeight="1">
      <c r="A396" s="148"/>
      <c r="B396" s="132" t="s">
        <v>322</v>
      </c>
      <c r="C396" s="133">
        <v>940950.0</v>
      </c>
      <c r="D396" s="149" t="s">
        <v>397</v>
      </c>
      <c r="E396" s="150" t="s">
        <v>398</v>
      </c>
      <c r="F396" s="151" t="s">
        <v>794</v>
      </c>
      <c r="G396" s="148"/>
    </row>
    <row r="397" ht="15.75" customHeight="1">
      <c r="A397" s="148"/>
      <c r="B397" s="132" t="s">
        <v>322</v>
      </c>
      <c r="C397" s="133">
        <v>940951.0</v>
      </c>
      <c r="D397" s="149" t="s">
        <v>397</v>
      </c>
      <c r="E397" s="150" t="s">
        <v>398</v>
      </c>
      <c r="F397" s="151" t="s">
        <v>795</v>
      </c>
      <c r="G397" s="148"/>
    </row>
    <row r="398" ht="15.75" customHeight="1">
      <c r="A398" s="148"/>
      <c r="B398" s="132" t="s">
        <v>322</v>
      </c>
      <c r="C398" s="133">
        <v>940952.0</v>
      </c>
      <c r="D398" s="149" t="s">
        <v>397</v>
      </c>
      <c r="E398" s="150" t="s">
        <v>398</v>
      </c>
      <c r="F398" s="151" t="s">
        <v>796</v>
      </c>
      <c r="G398" s="148"/>
    </row>
    <row r="399" ht="15.75" customHeight="1">
      <c r="A399" s="148"/>
      <c r="B399" s="132" t="s">
        <v>322</v>
      </c>
      <c r="C399" s="133">
        <v>941267.0</v>
      </c>
      <c r="D399" s="149" t="s">
        <v>397</v>
      </c>
      <c r="E399" s="150" t="s">
        <v>398</v>
      </c>
      <c r="F399" s="151" t="s">
        <v>797</v>
      </c>
      <c r="G399" s="148"/>
    </row>
    <row r="400" ht="15.75" customHeight="1">
      <c r="A400" s="148"/>
      <c r="B400" s="132" t="s">
        <v>322</v>
      </c>
      <c r="C400" s="133">
        <v>941268.0</v>
      </c>
      <c r="D400" s="149" t="s">
        <v>397</v>
      </c>
      <c r="E400" s="150" t="s">
        <v>398</v>
      </c>
      <c r="F400" s="151" t="s">
        <v>798</v>
      </c>
      <c r="G400" s="148"/>
    </row>
    <row r="401" ht="15.75" customHeight="1">
      <c r="A401" s="148"/>
      <c r="B401" s="132" t="s">
        <v>322</v>
      </c>
      <c r="C401" s="133">
        <v>941269.0</v>
      </c>
      <c r="D401" s="149" t="s">
        <v>397</v>
      </c>
      <c r="E401" s="150" t="s">
        <v>398</v>
      </c>
      <c r="F401" s="151" t="s">
        <v>799</v>
      </c>
      <c r="G401" s="148"/>
    </row>
    <row r="402" ht="15.75" customHeight="1">
      <c r="A402" s="148"/>
      <c r="B402" s="132" t="s">
        <v>322</v>
      </c>
      <c r="C402" s="133">
        <v>941270.0</v>
      </c>
      <c r="D402" s="149" t="s">
        <v>397</v>
      </c>
      <c r="E402" s="150" t="s">
        <v>398</v>
      </c>
      <c r="F402" s="151" t="s">
        <v>800</v>
      </c>
      <c r="G402" s="148"/>
    </row>
    <row r="403" ht="15.75" customHeight="1">
      <c r="A403" s="148"/>
      <c r="B403" s="132" t="s">
        <v>322</v>
      </c>
      <c r="C403" s="133">
        <v>941271.0</v>
      </c>
      <c r="D403" s="149" t="s">
        <v>397</v>
      </c>
      <c r="E403" s="150" t="s">
        <v>398</v>
      </c>
      <c r="F403" s="151" t="s">
        <v>801</v>
      </c>
      <c r="G403" s="148"/>
    </row>
    <row r="404" ht="15.75" customHeight="1">
      <c r="A404" s="148"/>
      <c r="B404" s="132" t="s">
        <v>322</v>
      </c>
      <c r="C404" s="133">
        <v>941272.0</v>
      </c>
      <c r="D404" s="149" t="s">
        <v>397</v>
      </c>
      <c r="E404" s="150" t="s">
        <v>398</v>
      </c>
      <c r="F404" s="151" t="s">
        <v>802</v>
      </c>
      <c r="G404" s="148"/>
    </row>
    <row r="405" ht="15.75" customHeight="1">
      <c r="A405" s="148"/>
      <c r="B405" s="132" t="s">
        <v>322</v>
      </c>
      <c r="C405" s="133">
        <v>941273.0</v>
      </c>
      <c r="D405" s="149" t="s">
        <v>397</v>
      </c>
      <c r="E405" s="150" t="s">
        <v>398</v>
      </c>
      <c r="F405" s="151" t="s">
        <v>803</v>
      </c>
      <c r="G405" s="148"/>
    </row>
    <row r="406" ht="15.75" customHeight="1">
      <c r="A406" s="148"/>
      <c r="B406" s="132" t="s">
        <v>322</v>
      </c>
      <c r="C406" s="133">
        <v>941274.0</v>
      </c>
      <c r="D406" s="149" t="s">
        <v>397</v>
      </c>
      <c r="E406" s="150" t="s">
        <v>398</v>
      </c>
      <c r="F406" s="151" t="s">
        <v>804</v>
      </c>
      <c r="G406" s="148"/>
    </row>
    <row r="407" ht="15.75" customHeight="1">
      <c r="A407" s="148"/>
      <c r="B407" s="132" t="s">
        <v>322</v>
      </c>
      <c r="C407" s="133">
        <v>941275.0</v>
      </c>
      <c r="D407" s="149" t="s">
        <v>397</v>
      </c>
      <c r="E407" s="150" t="s">
        <v>398</v>
      </c>
      <c r="F407" s="151" t="s">
        <v>805</v>
      </c>
      <c r="G407" s="148"/>
    </row>
    <row r="408" ht="15.75" customHeight="1">
      <c r="A408" s="148"/>
      <c r="B408" s="132" t="s">
        <v>322</v>
      </c>
      <c r="C408" s="133">
        <v>941276.0</v>
      </c>
      <c r="D408" s="149" t="s">
        <v>397</v>
      </c>
      <c r="E408" s="150" t="s">
        <v>398</v>
      </c>
      <c r="F408" s="151" t="s">
        <v>806</v>
      </c>
      <c r="G408" s="148"/>
    </row>
    <row r="409" ht="15.75" customHeight="1">
      <c r="A409" s="148"/>
      <c r="B409" s="132" t="s">
        <v>322</v>
      </c>
      <c r="C409" s="133">
        <v>941277.0</v>
      </c>
      <c r="D409" s="149" t="s">
        <v>397</v>
      </c>
      <c r="E409" s="150" t="s">
        <v>398</v>
      </c>
      <c r="F409" s="151" t="s">
        <v>807</v>
      </c>
      <c r="G409" s="148"/>
    </row>
    <row r="410" ht="15.75" customHeight="1">
      <c r="A410" s="148"/>
      <c r="B410" s="132" t="s">
        <v>322</v>
      </c>
      <c r="C410" s="133">
        <v>941278.0</v>
      </c>
      <c r="D410" s="149" t="s">
        <v>397</v>
      </c>
      <c r="E410" s="150" t="s">
        <v>398</v>
      </c>
      <c r="F410" s="151" t="s">
        <v>808</v>
      </c>
      <c r="G410" s="148"/>
    </row>
    <row r="411" ht="15.75" customHeight="1">
      <c r="A411" s="148"/>
      <c r="B411" s="132" t="s">
        <v>322</v>
      </c>
      <c r="C411" s="133">
        <v>941279.0</v>
      </c>
      <c r="D411" s="149" t="s">
        <v>397</v>
      </c>
      <c r="E411" s="150" t="s">
        <v>398</v>
      </c>
      <c r="F411" s="151" t="s">
        <v>809</v>
      </c>
      <c r="G411" s="148"/>
    </row>
    <row r="412" ht="15.75" customHeight="1">
      <c r="A412" s="148"/>
      <c r="B412" s="132" t="s">
        <v>322</v>
      </c>
      <c r="C412" s="133">
        <v>941280.0</v>
      </c>
      <c r="D412" s="149" t="s">
        <v>397</v>
      </c>
      <c r="E412" s="150" t="s">
        <v>398</v>
      </c>
      <c r="F412" s="151" t="s">
        <v>810</v>
      </c>
      <c r="G412" s="148"/>
    </row>
    <row r="413" ht="15.75" customHeight="1">
      <c r="A413" s="148"/>
      <c r="B413" s="132" t="s">
        <v>322</v>
      </c>
      <c r="C413" s="133">
        <v>941281.0</v>
      </c>
      <c r="D413" s="149" t="s">
        <v>397</v>
      </c>
      <c r="E413" s="150" t="s">
        <v>398</v>
      </c>
      <c r="F413" s="151" t="s">
        <v>811</v>
      </c>
      <c r="G413" s="148"/>
    </row>
    <row r="414" ht="15.75" customHeight="1">
      <c r="A414" s="148"/>
      <c r="B414" s="132" t="s">
        <v>322</v>
      </c>
      <c r="C414" s="133">
        <v>941282.0</v>
      </c>
      <c r="D414" s="149" t="s">
        <v>397</v>
      </c>
      <c r="E414" s="150" t="s">
        <v>398</v>
      </c>
      <c r="F414" s="151" t="s">
        <v>812</v>
      </c>
      <c r="G414" s="148"/>
    </row>
    <row r="415" ht="15.75" customHeight="1">
      <c r="A415" s="148"/>
      <c r="B415" s="132" t="s">
        <v>322</v>
      </c>
      <c r="C415" s="133">
        <v>941283.0</v>
      </c>
      <c r="D415" s="149" t="s">
        <v>397</v>
      </c>
      <c r="E415" s="150" t="s">
        <v>398</v>
      </c>
      <c r="F415" s="151" t="s">
        <v>813</v>
      </c>
      <c r="G415" s="148"/>
    </row>
    <row r="416" ht="15.75" customHeight="1">
      <c r="A416" s="148"/>
      <c r="B416" s="132" t="s">
        <v>322</v>
      </c>
      <c r="C416" s="133">
        <v>941284.0</v>
      </c>
      <c r="D416" s="149" t="s">
        <v>397</v>
      </c>
      <c r="E416" s="150" t="s">
        <v>398</v>
      </c>
      <c r="F416" s="151" t="s">
        <v>814</v>
      </c>
      <c r="G416" s="148"/>
    </row>
    <row r="417" ht="15.75" customHeight="1">
      <c r="A417" s="148"/>
      <c r="B417" s="132" t="s">
        <v>322</v>
      </c>
      <c r="C417" s="133">
        <v>941285.0</v>
      </c>
      <c r="D417" s="149" t="s">
        <v>397</v>
      </c>
      <c r="E417" s="150" t="s">
        <v>398</v>
      </c>
      <c r="F417" s="151" t="s">
        <v>815</v>
      </c>
      <c r="G417" s="148"/>
    </row>
    <row r="418" ht="15.75" customHeight="1">
      <c r="A418" s="148"/>
      <c r="B418" s="132" t="s">
        <v>322</v>
      </c>
      <c r="C418" s="133">
        <v>941286.0</v>
      </c>
      <c r="D418" s="149" t="s">
        <v>397</v>
      </c>
      <c r="E418" s="150" t="s">
        <v>398</v>
      </c>
      <c r="F418" s="151" t="s">
        <v>816</v>
      </c>
      <c r="G418" s="148"/>
    </row>
    <row r="419" ht="15.75" customHeight="1">
      <c r="A419" s="148"/>
      <c r="B419" s="132" t="s">
        <v>322</v>
      </c>
      <c r="C419" s="133">
        <v>941287.0</v>
      </c>
      <c r="D419" s="149" t="s">
        <v>397</v>
      </c>
      <c r="E419" s="150" t="s">
        <v>398</v>
      </c>
      <c r="F419" s="151" t="s">
        <v>817</v>
      </c>
      <c r="G419" s="148"/>
    </row>
    <row r="420" ht="15.75" customHeight="1">
      <c r="A420" s="148"/>
      <c r="B420" s="132" t="s">
        <v>322</v>
      </c>
      <c r="C420" s="133">
        <v>941288.0</v>
      </c>
      <c r="D420" s="149" t="s">
        <v>397</v>
      </c>
      <c r="E420" s="150" t="s">
        <v>398</v>
      </c>
      <c r="F420" s="151" t="s">
        <v>818</v>
      </c>
      <c r="G420" s="148"/>
    </row>
    <row r="421" ht="15.75" customHeight="1">
      <c r="A421" s="148"/>
      <c r="B421" s="132" t="s">
        <v>322</v>
      </c>
      <c r="C421" s="133">
        <v>941289.0</v>
      </c>
      <c r="D421" s="149" t="s">
        <v>397</v>
      </c>
      <c r="E421" s="150" t="s">
        <v>398</v>
      </c>
      <c r="F421" s="151" t="s">
        <v>819</v>
      </c>
      <c r="G421" s="148"/>
    </row>
    <row r="422" ht="15.75" customHeight="1">
      <c r="A422" s="148"/>
      <c r="B422" s="132" t="s">
        <v>322</v>
      </c>
      <c r="C422" s="133">
        <v>941290.0</v>
      </c>
      <c r="D422" s="149" t="s">
        <v>397</v>
      </c>
      <c r="E422" s="150" t="s">
        <v>398</v>
      </c>
      <c r="F422" s="151" t="s">
        <v>820</v>
      </c>
      <c r="G422" s="148"/>
    </row>
    <row r="423" ht="15.75" customHeight="1">
      <c r="A423" s="148"/>
      <c r="B423" s="132" t="s">
        <v>322</v>
      </c>
      <c r="C423" s="133">
        <v>941291.0</v>
      </c>
      <c r="D423" s="149" t="s">
        <v>397</v>
      </c>
      <c r="E423" s="150" t="s">
        <v>398</v>
      </c>
      <c r="F423" s="151" t="s">
        <v>821</v>
      </c>
      <c r="G423" s="148"/>
    </row>
    <row r="424" ht="15.75" customHeight="1">
      <c r="A424" s="148"/>
      <c r="B424" s="132" t="s">
        <v>322</v>
      </c>
      <c r="C424" s="133">
        <v>941292.0</v>
      </c>
      <c r="D424" s="149" t="s">
        <v>397</v>
      </c>
      <c r="E424" s="150" t="s">
        <v>398</v>
      </c>
      <c r="F424" s="151" t="s">
        <v>822</v>
      </c>
      <c r="G424" s="148"/>
    </row>
    <row r="425" ht="15.75" customHeight="1">
      <c r="A425" s="148"/>
      <c r="B425" s="132" t="s">
        <v>322</v>
      </c>
      <c r="C425" s="133">
        <v>941293.0</v>
      </c>
      <c r="D425" s="149" t="s">
        <v>397</v>
      </c>
      <c r="E425" s="150" t="s">
        <v>398</v>
      </c>
      <c r="F425" s="151" t="s">
        <v>823</v>
      </c>
      <c r="G425" s="148"/>
    </row>
    <row r="426" ht="15.75" customHeight="1">
      <c r="A426" s="148"/>
      <c r="B426" s="132" t="s">
        <v>322</v>
      </c>
      <c r="C426" s="133">
        <v>941294.0</v>
      </c>
      <c r="D426" s="149" t="s">
        <v>397</v>
      </c>
      <c r="E426" s="150" t="s">
        <v>398</v>
      </c>
      <c r="F426" s="151" t="s">
        <v>824</v>
      </c>
      <c r="G426" s="148"/>
    </row>
    <row r="427" ht="15.75" customHeight="1">
      <c r="A427" s="148"/>
      <c r="B427" s="132" t="s">
        <v>322</v>
      </c>
      <c r="C427" s="133">
        <v>941295.0</v>
      </c>
      <c r="D427" s="149" t="s">
        <v>397</v>
      </c>
      <c r="E427" s="150" t="s">
        <v>398</v>
      </c>
      <c r="F427" s="151" t="s">
        <v>825</v>
      </c>
      <c r="G427" s="148"/>
    </row>
    <row r="428" ht="15.75" customHeight="1">
      <c r="A428" s="148"/>
      <c r="B428" s="132" t="s">
        <v>322</v>
      </c>
      <c r="C428" s="133">
        <v>941296.0</v>
      </c>
      <c r="D428" s="149" t="s">
        <v>397</v>
      </c>
      <c r="E428" s="150" t="s">
        <v>398</v>
      </c>
      <c r="F428" s="151" t="s">
        <v>826</v>
      </c>
      <c r="G428" s="148"/>
    </row>
    <row r="429" ht="15.75" customHeight="1">
      <c r="A429" s="148"/>
      <c r="B429" s="132" t="s">
        <v>322</v>
      </c>
      <c r="C429" s="133">
        <v>941297.0</v>
      </c>
      <c r="D429" s="149" t="s">
        <v>397</v>
      </c>
      <c r="E429" s="150" t="s">
        <v>398</v>
      </c>
      <c r="F429" s="151" t="s">
        <v>827</v>
      </c>
      <c r="G429" s="148"/>
    </row>
    <row r="430" ht="15.75" customHeight="1">
      <c r="A430" s="148"/>
      <c r="B430" s="132" t="s">
        <v>322</v>
      </c>
      <c r="C430" s="133">
        <v>941298.0</v>
      </c>
      <c r="D430" s="149" t="s">
        <v>397</v>
      </c>
      <c r="E430" s="150" t="s">
        <v>398</v>
      </c>
      <c r="F430" s="151" t="s">
        <v>828</v>
      </c>
      <c r="G430" s="148"/>
    </row>
    <row r="431" ht="15.75" customHeight="1">
      <c r="A431" s="148"/>
      <c r="B431" s="132" t="s">
        <v>322</v>
      </c>
      <c r="C431" s="133">
        <v>941299.0</v>
      </c>
      <c r="D431" s="149" t="s">
        <v>397</v>
      </c>
      <c r="E431" s="150" t="s">
        <v>398</v>
      </c>
      <c r="F431" s="151" t="s">
        <v>829</v>
      </c>
      <c r="G431" s="148"/>
    </row>
    <row r="432" ht="15.75" customHeight="1">
      <c r="A432" s="148"/>
      <c r="B432" s="132" t="s">
        <v>322</v>
      </c>
      <c r="C432" s="133">
        <v>941300.0</v>
      </c>
      <c r="D432" s="149" t="s">
        <v>397</v>
      </c>
      <c r="E432" s="150" t="s">
        <v>398</v>
      </c>
      <c r="F432" s="151" t="s">
        <v>830</v>
      </c>
      <c r="G432" s="148"/>
    </row>
    <row r="433" ht="15.75" customHeight="1">
      <c r="A433" s="148"/>
      <c r="B433" s="132" t="s">
        <v>322</v>
      </c>
      <c r="C433" s="133">
        <v>941301.0</v>
      </c>
      <c r="D433" s="149" t="s">
        <v>397</v>
      </c>
      <c r="E433" s="150" t="s">
        <v>398</v>
      </c>
      <c r="F433" s="151" t="s">
        <v>831</v>
      </c>
      <c r="G433" s="148"/>
    </row>
    <row r="434" ht="15.75" customHeight="1">
      <c r="A434" s="148"/>
      <c r="B434" s="132" t="s">
        <v>322</v>
      </c>
      <c r="C434" s="133">
        <v>941302.0</v>
      </c>
      <c r="D434" s="149" t="s">
        <v>397</v>
      </c>
      <c r="E434" s="150" t="s">
        <v>398</v>
      </c>
      <c r="F434" s="151" t="s">
        <v>832</v>
      </c>
      <c r="G434" s="148"/>
    </row>
    <row r="435" ht="15.75" customHeight="1">
      <c r="A435" s="148"/>
      <c r="B435" s="132" t="s">
        <v>322</v>
      </c>
      <c r="C435" s="133">
        <v>941303.0</v>
      </c>
      <c r="D435" s="149" t="s">
        <v>397</v>
      </c>
      <c r="E435" s="150" t="s">
        <v>398</v>
      </c>
      <c r="F435" s="151" t="s">
        <v>833</v>
      </c>
      <c r="G435" s="148"/>
    </row>
    <row r="436" ht="15.75" customHeight="1">
      <c r="A436" s="148"/>
      <c r="B436" s="132" t="s">
        <v>322</v>
      </c>
      <c r="C436" s="133">
        <v>941304.0</v>
      </c>
      <c r="D436" s="149" t="s">
        <v>397</v>
      </c>
      <c r="E436" s="150" t="s">
        <v>398</v>
      </c>
      <c r="F436" s="151" t="s">
        <v>834</v>
      </c>
      <c r="G436" s="148"/>
    </row>
    <row r="437" ht="15.75" customHeight="1">
      <c r="A437" s="148"/>
      <c r="B437" s="132" t="s">
        <v>322</v>
      </c>
      <c r="C437" s="133">
        <v>941305.0</v>
      </c>
      <c r="D437" s="149" t="s">
        <v>397</v>
      </c>
      <c r="E437" s="150" t="s">
        <v>398</v>
      </c>
      <c r="F437" s="151" t="s">
        <v>835</v>
      </c>
      <c r="G437" s="148"/>
    </row>
    <row r="438" ht="15.75" customHeight="1">
      <c r="A438" s="148"/>
      <c r="B438" s="132" t="s">
        <v>322</v>
      </c>
      <c r="C438" s="133">
        <v>941306.0</v>
      </c>
      <c r="D438" s="149" t="s">
        <v>397</v>
      </c>
      <c r="E438" s="150" t="s">
        <v>398</v>
      </c>
      <c r="F438" s="151" t="s">
        <v>836</v>
      </c>
      <c r="G438" s="148"/>
    </row>
    <row r="439" ht="15.75" customHeight="1">
      <c r="A439" s="148"/>
      <c r="B439" s="132" t="s">
        <v>322</v>
      </c>
      <c r="C439" s="133">
        <v>941307.0</v>
      </c>
      <c r="D439" s="149" t="s">
        <v>397</v>
      </c>
      <c r="E439" s="150" t="s">
        <v>398</v>
      </c>
      <c r="F439" s="151" t="s">
        <v>837</v>
      </c>
      <c r="G439" s="148"/>
    </row>
    <row r="440" ht="15.75" customHeight="1">
      <c r="A440" s="148"/>
      <c r="B440" s="132" t="s">
        <v>322</v>
      </c>
      <c r="C440" s="133">
        <v>941308.0</v>
      </c>
      <c r="D440" s="149" t="s">
        <v>397</v>
      </c>
      <c r="E440" s="150" t="s">
        <v>398</v>
      </c>
      <c r="F440" s="151" t="s">
        <v>838</v>
      </c>
      <c r="G440" s="148"/>
    </row>
    <row r="441" ht="15.75" customHeight="1">
      <c r="A441" s="148"/>
      <c r="B441" s="132" t="s">
        <v>322</v>
      </c>
      <c r="C441" s="133">
        <v>941309.0</v>
      </c>
      <c r="D441" s="149" t="s">
        <v>397</v>
      </c>
      <c r="E441" s="150" t="s">
        <v>398</v>
      </c>
      <c r="F441" s="151" t="s">
        <v>839</v>
      </c>
      <c r="G441" s="148"/>
    </row>
    <row r="442" ht="15.75" customHeight="1">
      <c r="A442" s="148"/>
      <c r="B442" s="132" t="s">
        <v>322</v>
      </c>
      <c r="C442" s="133">
        <v>941310.0</v>
      </c>
      <c r="D442" s="149" t="s">
        <v>397</v>
      </c>
      <c r="E442" s="150" t="s">
        <v>398</v>
      </c>
      <c r="F442" s="151" t="s">
        <v>840</v>
      </c>
      <c r="G442" s="148"/>
    </row>
    <row r="443" ht="15.75" customHeight="1">
      <c r="A443" s="148"/>
      <c r="B443" s="132" t="s">
        <v>322</v>
      </c>
      <c r="C443" s="133">
        <v>941311.0</v>
      </c>
      <c r="D443" s="149" t="s">
        <v>397</v>
      </c>
      <c r="E443" s="150" t="s">
        <v>398</v>
      </c>
      <c r="F443" s="151" t="s">
        <v>841</v>
      </c>
      <c r="G443" s="148"/>
    </row>
    <row r="444" ht="15.75" customHeight="1">
      <c r="A444" s="148"/>
      <c r="B444" s="132" t="s">
        <v>322</v>
      </c>
      <c r="C444" s="133">
        <v>941312.0</v>
      </c>
      <c r="D444" s="149" t="s">
        <v>397</v>
      </c>
      <c r="E444" s="150" t="s">
        <v>398</v>
      </c>
      <c r="F444" s="151" t="s">
        <v>842</v>
      </c>
      <c r="G444" s="148"/>
    </row>
    <row r="445" ht="15.75" customHeight="1">
      <c r="A445" s="148"/>
      <c r="B445" s="132" t="s">
        <v>322</v>
      </c>
      <c r="C445" s="133">
        <v>941313.0</v>
      </c>
      <c r="D445" s="149" t="s">
        <v>397</v>
      </c>
      <c r="E445" s="150" t="s">
        <v>398</v>
      </c>
      <c r="F445" s="151" t="s">
        <v>843</v>
      </c>
      <c r="G445" s="148"/>
    </row>
    <row r="446" ht="15.75" customHeight="1">
      <c r="A446" s="148"/>
      <c r="B446" s="132" t="s">
        <v>322</v>
      </c>
      <c r="C446" s="133">
        <v>941314.0</v>
      </c>
      <c r="D446" s="149" t="s">
        <v>397</v>
      </c>
      <c r="E446" s="150" t="s">
        <v>398</v>
      </c>
      <c r="F446" s="151" t="s">
        <v>844</v>
      </c>
      <c r="G446" s="148"/>
    </row>
    <row r="447" ht="15.75" customHeight="1">
      <c r="A447" s="148"/>
      <c r="B447" s="132" t="s">
        <v>322</v>
      </c>
      <c r="C447" s="133">
        <v>941315.0</v>
      </c>
      <c r="D447" s="149" t="s">
        <v>397</v>
      </c>
      <c r="E447" s="150" t="s">
        <v>398</v>
      </c>
      <c r="F447" s="151" t="s">
        <v>845</v>
      </c>
      <c r="G447" s="148"/>
    </row>
    <row r="448" ht="15.75" customHeight="1">
      <c r="A448" s="148"/>
      <c r="B448" s="132" t="s">
        <v>322</v>
      </c>
      <c r="C448" s="133">
        <v>941316.0</v>
      </c>
      <c r="D448" s="149" t="s">
        <v>397</v>
      </c>
      <c r="E448" s="150" t="s">
        <v>398</v>
      </c>
      <c r="F448" s="151" t="s">
        <v>846</v>
      </c>
      <c r="G448" s="148"/>
    </row>
    <row r="449" ht="15.75" customHeight="1">
      <c r="A449" s="148"/>
      <c r="B449" s="132" t="s">
        <v>322</v>
      </c>
      <c r="C449" s="133">
        <v>941317.0</v>
      </c>
      <c r="D449" s="149" t="s">
        <v>397</v>
      </c>
      <c r="E449" s="150" t="s">
        <v>398</v>
      </c>
      <c r="F449" s="151" t="s">
        <v>847</v>
      </c>
      <c r="G449" s="148"/>
    </row>
    <row r="450" ht="15.75" customHeight="1">
      <c r="A450" s="148"/>
      <c r="B450" s="132" t="s">
        <v>322</v>
      </c>
      <c r="C450" s="133">
        <v>941318.0</v>
      </c>
      <c r="D450" s="149" t="s">
        <v>397</v>
      </c>
      <c r="E450" s="150" t="s">
        <v>398</v>
      </c>
      <c r="F450" s="151" t="s">
        <v>848</v>
      </c>
      <c r="G450" s="148"/>
    </row>
    <row r="451" ht="15.75" customHeight="1">
      <c r="A451" s="148"/>
      <c r="B451" s="132" t="s">
        <v>322</v>
      </c>
      <c r="C451" s="133">
        <v>941319.0</v>
      </c>
      <c r="D451" s="149" t="s">
        <v>397</v>
      </c>
      <c r="E451" s="150" t="s">
        <v>398</v>
      </c>
      <c r="F451" s="151" t="s">
        <v>849</v>
      </c>
      <c r="G451" s="148"/>
    </row>
    <row r="452" ht="15.75" customHeight="1">
      <c r="A452" s="148"/>
      <c r="B452" s="132" t="s">
        <v>322</v>
      </c>
      <c r="C452" s="133">
        <v>941618.0</v>
      </c>
      <c r="D452" s="149" t="s">
        <v>397</v>
      </c>
      <c r="E452" s="150" t="s">
        <v>398</v>
      </c>
      <c r="F452" s="151" t="s">
        <v>850</v>
      </c>
      <c r="G452" s="148"/>
    </row>
    <row r="453" ht="15.75" customHeight="1">
      <c r="A453" s="148"/>
      <c r="B453" s="132" t="s">
        <v>322</v>
      </c>
      <c r="C453" s="133">
        <v>941619.0</v>
      </c>
      <c r="D453" s="149" t="s">
        <v>397</v>
      </c>
      <c r="E453" s="150" t="s">
        <v>398</v>
      </c>
      <c r="F453" s="151" t="s">
        <v>851</v>
      </c>
      <c r="G453" s="148"/>
    </row>
    <row r="454" ht="15.75" customHeight="1">
      <c r="A454" s="148"/>
      <c r="B454" s="132" t="s">
        <v>322</v>
      </c>
      <c r="C454" s="133">
        <v>941620.0</v>
      </c>
      <c r="D454" s="149" t="s">
        <v>397</v>
      </c>
      <c r="E454" s="150" t="s">
        <v>398</v>
      </c>
      <c r="F454" s="151" t="s">
        <v>852</v>
      </c>
      <c r="G454" s="148"/>
    </row>
    <row r="455" ht="15.75" customHeight="1">
      <c r="A455" s="148"/>
      <c r="B455" s="132" t="s">
        <v>322</v>
      </c>
      <c r="C455" s="133">
        <v>941621.0</v>
      </c>
      <c r="D455" s="149" t="s">
        <v>397</v>
      </c>
      <c r="E455" s="150" t="s">
        <v>398</v>
      </c>
      <c r="F455" s="151" t="s">
        <v>853</v>
      </c>
      <c r="G455" s="148"/>
    </row>
    <row r="456" ht="15.75" customHeight="1">
      <c r="A456" s="148"/>
      <c r="B456" s="132" t="s">
        <v>322</v>
      </c>
      <c r="C456" s="133">
        <v>941622.0</v>
      </c>
      <c r="D456" s="149" t="s">
        <v>397</v>
      </c>
      <c r="E456" s="150" t="s">
        <v>398</v>
      </c>
      <c r="F456" s="151" t="s">
        <v>854</v>
      </c>
      <c r="G456" s="148"/>
    </row>
    <row r="457" ht="15.75" customHeight="1">
      <c r="A457" s="148"/>
      <c r="B457" s="132" t="s">
        <v>322</v>
      </c>
      <c r="C457" s="133">
        <v>941623.0</v>
      </c>
      <c r="D457" s="149" t="s">
        <v>397</v>
      </c>
      <c r="E457" s="150" t="s">
        <v>398</v>
      </c>
      <c r="F457" s="151" t="s">
        <v>855</v>
      </c>
      <c r="G457" s="148"/>
    </row>
    <row r="458" ht="15.75" customHeight="1">
      <c r="A458" s="148"/>
      <c r="B458" s="132" t="s">
        <v>322</v>
      </c>
      <c r="C458" s="133">
        <v>941624.0</v>
      </c>
      <c r="D458" s="149" t="s">
        <v>397</v>
      </c>
      <c r="E458" s="150" t="s">
        <v>398</v>
      </c>
      <c r="F458" s="151" t="s">
        <v>856</v>
      </c>
      <c r="G458" s="148"/>
    </row>
    <row r="459" ht="15.75" customHeight="1">
      <c r="A459" s="148"/>
      <c r="B459" s="132" t="s">
        <v>322</v>
      </c>
      <c r="C459" s="133">
        <v>941625.0</v>
      </c>
      <c r="D459" s="149" t="s">
        <v>397</v>
      </c>
      <c r="E459" s="150" t="s">
        <v>398</v>
      </c>
      <c r="F459" s="151" t="s">
        <v>857</v>
      </c>
      <c r="G459" s="148"/>
    </row>
    <row r="460" ht="15.75" customHeight="1">
      <c r="A460" s="148"/>
      <c r="B460" s="132" t="s">
        <v>322</v>
      </c>
      <c r="C460" s="133">
        <v>941626.0</v>
      </c>
      <c r="D460" s="149" t="s">
        <v>397</v>
      </c>
      <c r="E460" s="150" t="s">
        <v>398</v>
      </c>
      <c r="F460" s="151" t="s">
        <v>858</v>
      </c>
      <c r="G460" s="148"/>
    </row>
    <row r="461" ht="15.75" customHeight="1">
      <c r="A461" s="148"/>
      <c r="B461" s="132" t="s">
        <v>322</v>
      </c>
      <c r="C461" s="133">
        <v>941627.0</v>
      </c>
      <c r="D461" s="149" t="s">
        <v>397</v>
      </c>
      <c r="E461" s="150" t="s">
        <v>398</v>
      </c>
      <c r="F461" s="151" t="s">
        <v>859</v>
      </c>
      <c r="G461" s="148"/>
    </row>
    <row r="462" ht="15.75" customHeight="1">
      <c r="A462" s="148"/>
      <c r="B462" s="132" t="s">
        <v>322</v>
      </c>
      <c r="C462" s="133">
        <v>941628.0</v>
      </c>
      <c r="D462" s="149" t="s">
        <v>397</v>
      </c>
      <c r="E462" s="150" t="s">
        <v>398</v>
      </c>
      <c r="F462" s="151" t="s">
        <v>860</v>
      </c>
      <c r="G462" s="148"/>
    </row>
    <row r="463" ht="15.75" customHeight="1">
      <c r="A463" s="148"/>
      <c r="B463" s="132" t="s">
        <v>322</v>
      </c>
      <c r="C463" s="133">
        <v>941629.0</v>
      </c>
      <c r="D463" s="149" t="s">
        <v>397</v>
      </c>
      <c r="E463" s="150" t="s">
        <v>398</v>
      </c>
      <c r="F463" s="151" t="s">
        <v>861</v>
      </c>
      <c r="G463" s="148"/>
    </row>
    <row r="464" ht="15.75" customHeight="1">
      <c r="A464" s="148"/>
      <c r="B464" s="132" t="s">
        <v>322</v>
      </c>
      <c r="C464" s="133">
        <v>941630.0</v>
      </c>
      <c r="D464" s="149" t="s">
        <v>397</v>
      </c>
      <c r="E464" s="150" t="s">
        <v>398</v>
      </c>
      <c r="F464" s="151" t="s">
        <v>862</v>
      </c>
      <c r="G464" s="148"/>
    </row>
    <row r="465" ht="15.75" customHeight="1">
      <c r="A465" s="148"/>
      <c r="B465" s="132" t="s">
        <v>322</v>
      </c>
      <c r="C465" s="133">
        <v>941631.0</v>
      </c>
      <c r="D465" s="149" t="s">
        <v>397</v>
      </c>
      <c r="E465" s="150" t="s">
        <v>398</v>
      </c>
      <c r="F465" s="151" t="s">
        <v>863</v>
      </c>
      <c r="G465" s="148"/>
    </row>
    <row r="466" ht="15.75" customHeight="1">
      <c r="A466" s="148"/>
      <c r="B466" s="132" t="s">
        <v>322</v>
      </c>
      <c r="C466" s="133">
        <v>941632.0</v>
      </c>
      <c r="D466" s="149" t="s">
        <v>397</v>
      </c>
      <c r="E466" s="150" t="s">
        <v>398</v>
      </c>
      <c r="F466" s="151" t="s">
        <v>864</v>
      </c>
      <c r="G466" s="148"/>
    </row>
    <row r="467" ht="15.75" customHeight="1">
      <c r="A467" s="148"/>
      <c r="B467" s="132" t="s">
        <v>322</v>
      </c>
      <c r="C467" s="133">
        <v>941633.0</v>
      </c>
      <c r="D467" s="149" t="s">
        <v>397</v>
      </c>
      <c r="E467" s="150" t="s">
        <v>398</v>
      </c>
      <c r="F467" s="151" t="s">
        <v>865</v>
      </c>
      <c r="G467" s="148"/>
    </row>
    <row r="468" ht="15.75" customHeight="1">
      <c r="A468" s="148"/>
      <c r="B468" s="132" t="s">
        <v>322</v>
      </c>
      <c r="C468" s="133">
        <v>941634.0</v>
      </c>
      <c r="D468" s="149" t="s">
        <v>397</v>
      </c>
      <c r="E468" s="150" t="s">
        <v>398</v>
      </c>
      <c r="F468" s="151" t="s">
        <v>866</v>
      </c>
      <c r="G468" s="148"/>
    </row>
    <row r="469" ht="15.75" customHeight="1">
      <c r="A469" s="148"/>
      <c r="B469" s="132" t="s">
        <v>322</v>
      </c>
      <c r="C469" s="133">
        <v>941635.0</v>
      </c>
      <c r="D469" s="149" t="s">
        <v>397</v>
      </c>
      <c r="E469" s="150" t="s">
        <v>398</v>
      </c>
      <c r="F469" s="151" t="s">
        <v>867</v>
      </c>
      <c r="G469" s="148"/>
    </row>
    <row r="470" ht="15.75" customHeight="1">
      <c r="A470" s="148"/>
      <c r="B470" s="132" t="s">
        <v>322</v>
      </c>
      <c r="C470" s="133">
        <v>941636.0</v>
      </c>
      <c r="D470" s="149" t="s">
        <v>397</v>
      </c>
      <c r="E470" s="150" t="s">
        <v>398</v>
      </c>
      <c r="F470" s="151" t="s">
        <v>868</v>
      </c>
      <c r="G470" s="148"/>
    </row>
    <row r="471" ht="15.75" customHeight="1">
      <c r="A471" s="148"/>
      <c r="B471" s="132" t="s">
        <v>322</v>
      </c>
      <c r="C471" s="133">
        <v>941637.0</v>
      </c>
      <c r="D471" s="149" t="s">
        <v>397</v>
      </c>
      <c r="E471" s="150" t="s">
        <v>398</v>
      </c>
      <c r="F471" s="151" t="s">
        <v>869</v>
      </c>
      <c r="G471" s="148"/>
    </row>
    <row r="472" ht="15.75" customHeight="1">
      <c r="A472" s="148"/>
      <c r="B472" s="132" t="s">
        <v>322</v>
      </c>
      <c r="C472" s="133">
        <v>941638.0</v>
      </c>
      <c r="D472" s="149" t="s">
        <v>397</v>
      </c>
      <c r="E472" s="150" t="s">
        <v>398</v>
      </c>
      <c r="F472" s="151" t="s">
        <v>870</v>
      </c>
      <c r="G472" s="148"/>
    </row>
    <row r="473" ht="15.75" customHeight="1">
      <c r="A473" s="148"/>
      <c r="B473" s="132" t="s">
        <v>322</v>
      </c>
      <c r="C473" s="133">
        <v>941639.0</v>
      </c>
      <c r="D473" s="149" t="s">
        <v>397</v>
      </c>
      <c r="E473" s="150" t="s">
        <v>398</v>
      </c>
      <c r="F473" s="151" t="s">
        <v>871</v>
      </c>
      <c r="G473" s="148"/>
    </row>
    <row r="474" ht="15.75" customHeight="1">
      <c r="A474" s="148"/>
      <c r="B474" s="132" t="s">
        <v>322</v>
      </c>
      <c r="C474" s="133">
        <v>941640.0</v>
      </c>
      <c r="D474" s="149" t="s">
        <v>397</v>
      </c>
      <c r="E474" s="150" t="s">
        <v>398</v>
      </c>
      <c r="F474" s="151" t="s">
        <v>872</v>
      </c>
      <c r="G474" s="148"/>
    </row>
    <row r="475" ht="15.75" customHeight="1">
      <c r="A475" s="148"/>
      <c r="B475" s="132" t="s">
        <v>322</v>
      </c>
      <c r="C475" s="133">
        <v>941641.0</v>
      </c>
      <c r="D475" s="149" t="s">
        <v>397</v>
      </c>
      <c r="E475" s="150" t="s">
        <v>398</v>
      </c>
      <c r="F475" s="151" t="s">
        <v>873</v>
      </c>
      <c r="G475" s="148"/>
    </row>
    <row r="476" ht="15.75" customHeight="1">
      <c r="A476" s="148"/>
      <c r="B476" s="132" t="s">
        <v>322</v>
      </c>
      <c r="C476" s="133">
        <v>941642.0</v>
      </c>
      <c r="D476" s="149" t="s">
        <v>397</v>
      </c>
      <c r="E476" s="150" t="s">
        <v>398</v>
      </c>
      <c r="F476" s="151" t="s">
        <v>874</v>
      </c>
      <c r="G476" s="148"/>
    </row>
    <row r="477" ht="15.75" customHeight="1">
      <c r="A477" s="148"/>
      <c r="B477" s="132" t="s">
        <v>322</v>
      </c>
      <c r="C477" s="133">
        <v>941643.0</v>
      </c>
      <c r="D477" s="149" t="s">
        <v>397</v>
      </c>
      <c r="E477" s="150" t="s">
        <v>398</v>
      </c>
      <c r="F477" s="151" t="s">
        <v>875</v>
      </c>
      <c r="G477" s="148"/>
    </row>
    <row r="478" ht="15.75" customHeight="1">
      <c r="A478" s="148"/>
      <c r="B478" s="132" t="s">
        <v>322</v>
      </c>
      <c r="C478" s="133">
        <v>941644.0</v>
      </c>
      <c r="D478" s="149" t="s">
        <v>397</v>
      </c>
      <c r="E478" s="150" t="s">
        <v>398</v>
      </c>
      <c r="F478" s="151" t="s">
        <v>876</v>
      </c>
      <c r="G478" s="148"/>
    </row>
    <row r="479" ht="15.75" customHeight="1">
      <c r="A479" s="148"/>
      <c r="B479" s="132" t="s">
        <v>322</v>
      </c>
      <c r="C479" s="133">
        <v>941645.0</v>
      </c>
      <c r="D479" s="149" t="s">
        <v>397</v>
      </c>
      <c r="E479" s="150" t="s">
        <v>398</v>
      </c>
      <c r="F479" s="151" t="s">
        <v>877</v>
      </c>
      <c r="G479" s="148"/>
    </row>
    <row r="480" ht="15.75" customHeight="1">
      <c r="A480" s="148"/>
      <c r="B480" s="132" t="s">
        <v>322</v>
      </c>
      <c r="C480" s="133">
        <v>941646.0</v>
      </c>
      <c r="D480" s="149" t="s">
        <v>397</v>
      </c>
      <c r="E480" s="150" t="s">
        <v>398</v>
      </c>
      <c r="F480" s="151" t="s">
        <v>878</v>
      </c>
      <c r="G480" s="148"/>
    </row>
    <row r="481" ht="15.75" customHeight="1">
      <c r="A481" s="148"/>
      <c r="B481" s="132" t="s">
        <v>322</v>
      </c>
      <c r="C481" s="133">
        <v>941647.0</v>
      </c>
      <c r="D481" s="149" t="s">
        <v>397</v>
      </c>
      <c r="E481" s="150" t="s">
        <v>398</v>
      </c>
      <c r="F481" s="151" t="s">
        <v>879</v>
      </c>
      <c r="G481" s="148"/>
    </row>
    <row r="482" ht="15.75" customHeight="1">
      <c r="A482" s="148"/>
      <c r="B482" s="132" t="s">
        <v>322</v>
      </c>
      <c r="C482" s="133">
        <v>941648.0</v>
      </c>
      <c r="D482" s="149" t="s">
        <v>397</v>
      </c>
      <c r="E482" s="150" t="s">
        <v>398</v>
      </c>
      <c r="F482" s="151" t="s">
        <v>880</v>
      </c>
      <c r="G482" s="148"/>
    </row>
    <row r="483" ht="15.75" customHeight="1">
      <c r="A483" s="148"/>
      <c r="B483" s="132" t="s">
        <v>322</v>
      </c>
      <c r="C483" s="133">
        <v>941649.0</v>
      </c>
      <c r="D483" s="149" t="s">
        <v>397</v>
      </c>
      <c r="E483" s="150" t="s">
        <v>398</v>
      </c>
      <c r="F483" s="151" t="s">
        <v>881</v>
      </c>
      <c r="G483" s="148"/>
    </row>
    <row r="484" ht="15.75" customHeight="1">
      <c r="A484" s="148"/>
      <c r="B484" s="132" t="s">
        <v>322</v>
      </c>
      <c r="C484" s="133">
        <v>941650.0</v>
      </c>
      <c r="D484" s="149" t="s">
        <v>397</v>
      </c>
      <c r="E484" s="150" t="s">
        <v>398</v>
      </c>
      <c r="F484" s="151" t="s">
        <v>882</v>
      </c>
      <c r="G484" s="148"/>
    </row>
    <row r="485" ht="15.75" customHeight="1">
      <c r="A485" s="148"/>
      <c r="B485" s="132" t="s">
        <v>322</v>
      </c>
      <c r="C485" s="133">
        <v>941651.0</v>
      </c>
      <c r="D485" s="149" t="s">
        <v>397</v>
      </c>
      <c r="E485" s="150" t="s">
        <v>398</v>
      </c>
      <c r="F485" s="151" t="s">
        <v>883</v>
      </c>
      <c r="G485" s="148"/>
    </row>
    <row r="486" ht="15.75" customHeight="1">
      <c r="A486" s="148"/>
      <c r="B486" s="132" t="s">
        <v>322</v>
      </c>
      <c r="C486" s="133">
        <v>941652.0</v>
      </c>
      <c r="D486" s="149" t="s">
        <v>397</v>
      </c>
      <c r="E486" s="150" t="s">
        <v>398</v>
      </c>
      <c r="F486" s="151" t="s">
        <v>884</v>
      </c>
      <c r="G486" s="148"/>
    </row>
    <row r="487" ht="15.75" customHeight="1">
      <c r="A487" s="148"/>
      <c r="B487" s="132" t="s">
        <v>322</v>
      </c>
      <c r="C487" s="133">
        <v>941653.0</v>
      </c>
      <c r="D487" s="149" t="s">
        <v>397</v>
      </c>
      <c r="E487" s="150" t="s">
        <v>398</v>
      </c>
      <c r="F487" s="151" t="s">
        <v>885</v>
      </c>
      <c r="G487" s="148"/>
    </row>
    <row r="488" ht="15.75" customHeight="1">
      <c r="A488" s="148"/>
      <c r="B488" s="132" t="s">
        <v>322</v>
      </c>
      <c r="C488" s="133">
        <v>941654.0</v>
      </c>
      <c r="D488" s="149" t="s">
        <v>397</v>
      </c>
      <c r="E488" s="150" t="s">
        <v>398</v>
      </c>
      <c r="F488" s="151" t="s">
        <v>886</v>
      </c>
      <c r="G488" s="148"/>
    </row>
    <row r="489" ht="15.75" customHeight="1">
      <c r="A489" s="148"/>
      <c r="B489" s="132" t="s">
        <v>322</v>
      </c>
      <c r="C489" s="133">
        <v>941655.0</v>
      </c>
      <c r="D489" s="149" t="s">
        <v>397</v>
      </c>
      <c r="E489" s="150" t="s">
        <v>398</v>
      </c>
      <c r="F489" s="151" t="s">
        <v>887</v>
      </c>
      <c r="G489" s="148"/>
    </row>
    <row r="490" ht="15.75" customHeight="1">
      <c r="A490" s="148"/>
      <c r="B490" s="132" t="s">
        <v>322</v>
      </c>
      <c r="C490" s="133">
        <v>941656.0</v>
      </c>
      <c r="D490" s="149" t="s">
        <v>397</v>
      </c>
      <c r="E490" s="150" t="s">
        <v>398</v>
      </c>
      <c r="F490" s="151" t="s">
        <v>888</v>
      </c>
      <c r="G490" s="148"/>
    </row>
    <row r="491" ht="15.75" customHeight="1">
      <c r="A491" s="148"/>
      <c r="B491" s="132" t="s">
        <v>322</v>
      </c>
      <c r="C491" s="133">
        <v>941657.0</v>
      </c>
      <c r="D491" s="149" t="s">
        <v>397</v>
      </c>
      <c r="E491" s="150" t="s">
        <v>398</v>
      </c>
      <c r="F491" s="151" t="s">
        <v>889</v>
      </c>
      <c r="G491" s="148"/>
    </row>
    <row r="492" ht="15.75" customHeight="1">
      <c r="A492" s="148"/>
      <c r="B492" s="132" t="s">
        <v>322</v>
      </c>
      <c r="C492" s="133">
        <v>941658.0</v>
      </c>
      <c r="D492" s="149" t="s">
        <v>397</v>
      </c>
      <c r="E492" s="150" t="s">
        <v>398</v>
      </c>
      <c r="F492" s="151" t="s">
        <v>890</v>
      </c>
      <c r="G492" s="148"/>
    </row>
    <row r="493" ht="15.75" customHeight="1">
      <c r="A493" s="148"/>
      <c r="B493" s="132" t="s">
        <v>322</v>
      </c>
      <c r="C493" s="133">
        <v>941659.0</v>
      </c>
      <c r="D493" s="149" t="s">
        <v>397</v>
      </c>
      <c r="E493" s="150" t="s">
        <v>398</v>
      </c>
      <c r="F493" s="151" t="s">
        <v>891</v>
      </c>
      <c r="G493" s="148"/>
    </row>
    <row r="494" ht="15.75" customHeight="1">
      <c r="A494" s="148"/>
      <c r="B494" s="132" t="s">
        <v>322</v>
      </c>
      <c r="C494" s="133">
        <v>941660.0</v>
      </c>
      <c r="D494" s="149" t="s">
        <v>397</v>
      </c>
      <c r="E494" s="150" t="s">
        <v>398</v>
      </c>
      <c r="F494" s="151" t="s">
        <v>892</v>
      </c>
      <c r="G494" s="148"/>
    </row>
    <row r="495" ht="15.75" customHeight="1">
      <c r="A495" s="148"/>
      <c r="B495" s="132" t="s">
        <v>322</v>
      </c>
      <c r="C495" s="133">
        <v>941661.0</v>
      </c>
      <c r="D495" s="149" t="s">
        <v>397</v>
      </c>
      <c r="E495" s="150" t="s">
        <v>398</v>
      </c>
      <c r="F495" s="151" t="s">
        <v>893</v>
      </c>
      <c r="G495" s="148"/>
    </row>
    <row r="496" ht="15.75" customHeight="1">
      <c r="A496" s="148"/>
      <c r="B496" s="132" t="s">
        <v>322</v>
      </c>
      <c r="C496" s="133">
        <v>941662.0</v>
      </c>
      <c r="D496" s="149" t="s">
        <v>397</v>
      </c>
      <c r="E496" s="150" t="s">
        <v>398</v>
      </c>
      <c r="F496" s="151" t="s">
        <v>894</v>
      </c>
      <c r="G496" s="148"/>
    </row>
    <row r="497" ht="15.75" customHeight="1">
      <c r="A497" s="148"/>
      <c r="B497" s="132" t="s">
        <v>322</v>
      </c>
      <c r="C497" s="133">
        <v>941663.0</v>
      </c>
      <c r="D497" s="149" t="s">
        <v>397</v>
      </c>
      <c r="E497" s="150" t="s">
        <v>398</v>
      </c>
      <c r="F497" s="151" t="s">
        <v>895</v>
      </c>
      <c r="G497" s="148"/>
    </row>
    <row r="498" ht="15.75" customHeight="1">
      <c r="A498" s="148"/>
      <c r="B498" s="132" t="s">
        <v>322</v>
      </c>
      <c r="C498" s="133">
        <v>941664.0</v>
      </c>
      <c r="D498" s="149" t="s">
        <v>397</v>
      </c>
      <c r="E498" s="150" t="s">
        <v>398</v>
      </c>
      <c r="F498" s="151" t="s">
        <v>896</v>
      </c>
      <c r="G498" s="148"/>
    </row>
    <row r="499" ht="15.75" customHeight="1">
      <c r="A499" s="148"/>
      <c r="B499" s="132" t="s">
        <v>322</v>
      </c>
      <c r="C499" s="133">
        <v>941665.0</v>
      </c>
      <c r="D499" s="149" t="s">
        <v>397</v>
      </c>
      <c r="E499" s="150" t="s">
        <v>398</v>
      </c>
      <c r="F499" s="151" t="s">
        <v>897</v>
      </c>
      <c r="G499" s="148"/>
    </row>
    <row r="500" ht="15.75" customHeight="1">
      <c r="A500" s="148"/>
      <c r="B500" s="132" t="s">
        <v>322</v>
      </c>
      <c r="C500" s="133">
        <v>941666.0</v>
      </c>
      <c r="D500" s="149" t="s">
        <v>397</v>
      </c>
      <c r="E500" s="150" t="s">
        <v>398</v>
      </c>
      <c r="F500" s="151" t="s">
        <v>898</v>
      </c>
      <c r="G500" s="148"/>
    </row>
    <row r="501" ht="15.75" customHeight="1">
      <c r="A501" s="148"/>
      <c r="B501" s="132" t="s">
        <v>322</v>
      </c>
      <c r="C501" s="133">
        <v>941667.0</v>
      </c>
      <c r="D501" s="149" t="s">
        <v>397</v>
      </c>
      <c r="E501" s="150" t="s">
        <v>398</v>
      </c>
      <c r="F501" s="151" t="s">
        <v>899</v>
      </c>
      <c r="G501" s="148"/>
    </row>
    <row r="502" ht="15.75" customHeight="1">
      <c r="A502" s="148"/>
      <c r="B502" s="132" t="s">
        <v>322</v>
      </c>
      <c r="C502" s="133">
        <v>941668.0</v>
      </c>
      <c r="D502" s="149" t="s">
        <v>397</v>
      </c>
      <c r="E502" s="150" t="s">
        <v>398</v>
      </c>
      <c r="F502" s="151" t="s">
        <v>900</v>
      </c>
      <c r="G502" s="148"/>
    </row>
    <row r="503" ht="15.75" customHeight="1">
      <c r="A503" s="148"/>
      <c r="B503" s="132" t="s">
        <v>322</v>
      </c>
      <c r="C503" s="133">
        <v>941669.0</v>
      </c>
      <c r="D503" s="149" t="s">
        <v>397</v>
      </c>
      <c r="E503" s="150" t="s">
        <v>398</v>
      </c>
      <c r="F503" s="151" t="s">
        <v>901</v>
      </c>
      <c r="G503" s="148"/>
    </row>
    <row r="504" ht="15.75" customHeight="1">
      <c r="A504" s="148"/>
      <c r="B504" s="132" t="s">
        <v>322</v>
      </c>
      <c r="C504" s="133">
        <v>941670.0</v>
      </c>
      <c r="D504" s="149" t="s">
        <v>397</v>
      </c>
      <c r="E504" s="150" t="s">
        <v>398</v>
      </c>
      <c r="F504" s="151" t="s">
        <v>902</v>
      </c>
      <c r="G504" s="148"/>
    </row>
    <row r="505" ht="15.75" customHeight="1">
      <c r="A505" s="148"/>
      <c r="B505" s="132" t="s">
        <v>322</v>
      </c>
      <c r="C505" s="133">
        <v>941983.0</v>
      </c>
      <c r="D505" s="149" t="s">
        <v>397</v>
      </c>
      <c r="E505" s="150" t="s">
        <v>398</v>
      </c>
      <c r="F505" s="151" t="s">
        <v>903</v>
      </c>
      <c r="G505" s="148"/>
    </row>
    <row r="506" ht="15.75" customHeight="1">
      <c r="A506" s="148"/>
      <c r="B506" s="132" t="s">
        <v>322</v>
      </c>
      <c r="C506" s="133">
        <v>941984.0</v>
      </c>
      <c r="D506" s="149" t="s">
        <v>397</v>
      </c>
      <c r="E506" s="150" t="s">
        <v>398</v>
      </c>
      <c r="F506" s="151" t="s">
        <v>904</v>
      </c>
      <c r="G506" s="148"/>
    </row>
    <row r="507" ht="15.75" customHeight="1">
      <c r="A507" s="148"/>
      <c r="B507" s="132" t="s">
        <v>322</v>
      </c>
      <c r="C507" s="133">
        <v>941985.0</v>
      </c>
      <c r="D507" s="149" t="s">
        <v>397</v>
      </c>
      <c r="E507" s="150" t="s">
        <v>398</v>
      </c>
      <c r="F507" s="151" t="s">
        <v>905</v>
      </c>
      <c r="G507" s="148"/>
    </row>
    <row r="508" ht="15.75" customHeight="1">
      <c r="A508" s="148"/>
      <c r="B508" s="132" t="s">
        <v>322</v>
      </c>
      <c r="C508" s="133">
        <v>941986.0</v>
      </c>
      <c r="D508" s="149" t="s">
        <v>397</v>
      </c>
      <c r="E508" s="150" t="s">
        <v>398</v>
      </c>
      <c r="F508" s="151" t="s">
        <v>906</v>
      </c>
      <c r="G508" s="148"/>
    </row>
    <row r="509" ht="15.75" customHeight="1">
      <c r="A509" s="148"/>
      <c r="B509" s="132" t="s">
        <v>322</v>
      </c>
      <c r="C509" s="133">
        <v>941987.0</v>
      </c>
      <c r="D509" s="149" t="s">
        <v>397</v>
      </c>
      <c r="E509" s="150" t="s">
        <v>398</v>
      </c>
      <c r="F509" s="151" t="s">
        <v>907</v>
      </c>
      <c r="G509" s="148"/>
    </row>
    <row r="510" ht="15.75" customHeight="1">
      <c r="A510" s="148"/>
      <c r="B510" s="132" t="s">
        <v>322</v>
      </c>
      <c r="C510" s="133">
        <v>941988.0</v>
      </c>
      <c r="D510" s="149" t="s">
        <v>397</v>
      </c>
      <c r="E510" s="150" t="s">
        <v>398</v>
      </c>
      <c r="F510" s="151" t="s">
        <v>908</v>
      </c>
      <c r="G510" s="148"/>
    </row>
    <row r="511" ht="15.75" customHeight="1">
      <c r="A511" s="148"/>
      <c r="B511" s="132" t="s">
        <v>322</v>
      </c>
      <c r="C511" s="133">
        <v>941989.0</v>
      </c>
      <c r="D511" s="149" t="s">
        <v>397</v>
      </c>
      <c r="E511" s="150" t="s">
        <v>398</v>
      </c>
      <c r="F511" s="151" t="s">
        <v>909</v>
      </c>
      <c r="G511" s="148"/>
    </row>
    <row r="512" ht="15.75" customHeight="1">
      <c r="A512" s="148"/>
      <c r="B512" s="132" t="s">
        <v>322</v>
      </c>
      <c r="C512" s="133">
        <v>941990.0</v>
      </c>
      <c r="D512" s="149" t="s">
        <v>397</v>
      </c>
      <c r="E512" s="150" t="s">
        <v>398</v>
      </c>
      <c r="F512" s="151" t="s">
        <v>910</v>
      </c>
      <c r="G512" s="148"/>
    </row>
    <row r="513" ht="15.75" customHeight="1">
      <c r="A513" s="148"/>
      <c r="B513" s="132" t="s">
        <v>322</v>
      </c>
      <c r="C513" s="133">
        <v>941991.0</v>
      </c>
      <c r="D513" s="149" t="s">
        <v>397</v>
      </c>
      <c r="E513" s="150" t="s">
        <v>398</v>
      </c>
      <c r="F513" s="151" t="s">
        <v>911</v>
      </c>
      <c r="G513" s="148"/>
    </row>
    <row r="514" ht="15.75" customHeight="1">
      <c r="A514" s="148"/>
      <c r="B514" s="132" t="s">
        <v>322</v>
      </c>
      <c r="C514" s="133">
        <v>941992.0</v>
      </c>
      <c r="D514" s="149" t="s">
        <v>397</v>
      </c>
      <c r="E514" s="150" t="s">
        <v>398</v>
      </c>
      <c r="F514" s="151" t="s">
        <v>912</v>
      </c>
      <c r="G514" s="148"/>
    </row>
    <row r="515" ht="15.75" customHeight="1">
      <c r="A515" s="148"/>
      <c r="B515" s="132" t="s">
        <v>322</v>
      </c>
      <c r="C515" s="133">
        <v>941993.0</v>
      </c>
      <c r="D515" s="149" t="s">
        <v>397</v>
      </c>
      <c r="E515" s="150" t="s">
        <v>398</v>
      </c>
      <c r="F515" s="151" t="s">
        <v>913</v>
      </c>
      <c r="G515" s="148"/>
    </row>
    <row r="516" ht="15.75" customHeight="1">
      <c r="A516" s="148"/>
      <c r="B516" s="132" t="s">
        <v>322</v>
      </c>
      <c r="C516" s="133">
        <v>941994.0</v>
      </c>
      <c r="D516" s="152" t="s">
        <v>543</v>
      </c>
      <c r="E516" s="125" t="s">
        <v>296</v>
      </c>
      <c r="F516" s="151" t="s">
        <v>914</v>
      </c>
      <c r="G516" s="148"/>
    </row>
    <row r="517" ht="15.75" customHeight="1">
      <c r="A517" s="148"/>
      <c r="B517" s="132" t="s">
        <v>322</v>
      </c>
      <c r="C517" s="133">
        <v>941995.0</v>
      </c>
      <c r="D517" s="152" t="s">
        <v>543</v>
      </c>
      <c r="E517" s="125" t="s">
        <v>296</v>
      </c>
      <c r="F517" s="151" t="s">
        <v>915</v>
      </c>
      <c r="G517" s="148"/>
    </row>
    <row r="518" ht="15.75" customHeight="1">
      <c r="A518" s="148"/>
      <c r="B518" s="132" t="s">
        <v>322</v>
      </c>
      <c r="C518" s="133">
        <v>941996.0</v>
      </c>
      <c r="D518" s="152" t="s">
        <v>543</v>
      </c>
      <c r="E518" s="125" t="s">
        <v>296</v>
      </c>
      <c r="F518" s="151" t="s">
        <v>916</v>
      </c>
      <c r="G518" s="148"/>
    </row>
    <row r="519" ht="15.75" customHeight="1">
      <c r="A519" s="148"/>
      <c r="B519" s="132" t="s">
        <v>322</v>
      </c>
      <c r="C519" s="133">
        <v>941997.0</v>
      </c>
      <c r="D519" s="152" t="s">
        <v>543</v>
      </c>
      <c r="E519" s="125" t="s">
        <v>296</v>
      </c>
      <c r="F519" s="151" t="s">
        <v>917</v>
      </c>
      <c r="G519" s="148"/>
    </row>
    <row r="520" ht="15.75" customHeight="1">
      <c r="A520" s="148"/>
      <c r="B520" s="132" t="s">
        <v>322</v>
      </c>
      <c r="C520" s="133">
        <v>941998.0</v>
      </c>
      <c r="D520" s="152" t="s">
        <v>543</v>
      </c>
      <c r="E520" s="125" t="s">
        <v>296</v>
      </c>
      <c r="F520" s="151" t="s">
        <v>918</v>
      </c>
      <c r="G520" s="148"/>
    </row>
    <row r="521" ht="15.75" customHeight="1">
      <c r="A521" s="148"/>
      <c r="B521" s="132" t="s">
        <v>322</v>
      </c>
      <c r="C521" s="133">
        <v>941999.0</v>
      </c>
      <c r="D521" s="152" t="s">
        <v>543</v>
      </c>
      <c r="E521" s="125" t="s">
        <v>296</v>
      </c>
      <c r="F521" s="151" t="s">
        <v>919</v>
      </c>
      <c r="G521" s="148"/>
    </row>
    <row r="522" ht="15.75" customHeight="1">
      <c r="A522" s="148"/>
      <c r="B522" s="132" t="s">
        <v>322</v>
      </c>
      <c r="C522" s="133">
        <v>942000.0</v>
      </c>
      <c r="D522" s="152" t="s">
        <v>543</v>
      </c>
      <c r="E522" s="125" t="s">
        <v>296</v>
      </c>
      <c r="F522" s="151" t="s">
        <v>920</v>
      </c>
      <c r="G522" s="148"/>
    </row>
    <row r="523" ht="15.75" customHeight="1">
      <c r="A523" s="148"/>
      <c r="B523" s="132" t="s">
        <v>322</v>
      </c>
      <c r="C523" s="133">
        <v>942001.0</v>
      </c>
      <c r="D523" s="152" t="s">
        <v>543</v>
      </c>
      <c r="E523" s="125" t="s">
        <v>296</v>
      </c>
      <c r="F523" s="151" t="s">
        <v>921</v>
      </c>
      <c r="G523" s="148"/>
    </row>
    <row r="524" ht="15.75" customHeight="1">
      <c r="A524" s="148"/>
      <c r="B524" s="132" t="s">
        <v>322</v>
      </c>
      <c r="C524" s="133">
        <v>942002.0</v>
      </c>
      <c r="D524" s="152" t="s">
        <v>543</v>
      </c>
      <c r="E524" s="125" t="s">
        <v>296</v>
      </c>
      <c r="F524" s="151" t="s">
        <v>922</v>
      </c>
      <c r="G524" s="148"/>
    </row>
    <row r="525" ht="15.75" customHeight="1">
      <c r="A525" s="148"/>
      <c r="B525" s="132" t="s">
        <v>322</v>
      </c>
      <c r="C525" s="133">
        <v>942003.0</v>
      </c>
      <c r="D525" s="152" t="s">
        <v>543</v>
      </c>
      <c r="E525" s="125" t="s">
        <v>296</v>
      </c>
      <c r="F525" s="151" t="s">
        <v>923</v>
      </c>
      <c r="G525" s="148"/>
    </row>
    <row r="526" ht="15.75" customHeight="1">
      <c r="A526" s="148"/>
      <c r="B526" s="132" t="s">
        <v>322</v>
      </c>
      <c r="C526" s="133">
        <v>942004.0</v>
      </c>
      <c r="D526" s="149" t="s">
        <v>397</v>
      </c>
      <c r="E526" s="150" t="s">
        <v>398</v>
      </c>
      <c r="F526" s="151" t="s">
        <v>924</v>
      </c>
      <c r="G526" s="148"/>
    </row>
    <row r="527" ht="15.75" customHeight="1">
      <c r="A527" s="148"/>
      <c r="B527" s="132" t="s">
        <v>322</v>
      </c>
      <c r="C527" s="133">
        <v>942005.0</v>
      </c>
      <c r="D527" s="149" t="s">
        <v>397</v>
      </c>
      <c r="E527" s="150" t="s">
        <v>398</v>
      </c>
      <c r="F527" s="151" t="s">
        <v>925</v>
      </c>
      <c r="G527" s="148"/>
    </row>
    <row r="528" ht="15.75" customHeight="1">
      <c r="A528" s="148"/>
      <c r="B528" s="132" t="s">
        <v>322</v>
      </c>
      <c r="C528" s="133">
        <v>942006.0</v>
      </c>
      <c r="D528" s="149" t="s">
        <v>397</v>
      </c>
      <c r="E528" s="150" t="s">
        <v>398</v>
      </c>
      <c r="F528" s="151" t="s">
        <v>926</v>
      </c>
      <c r="G528" s="148"/>
    </row>
    <row r="529" ht="15.75" customHeight="1">
      <c r="A529" s="148"/>
      <c r="B529" s="132" t="s">
        <v>322</v>
      </c>
      <c r="C529" s="133">
        <v>942007.0</v>
      </c>
      <c r="D529" s="149" t="s">
        <v>397</v>
      </c>
      <c r="E529" s="150" t="s">
        <v>398</v>
      </c>
      <c r="F529" s="151" t="s">
        <v>927</v>
      </c>
      <c r="G529" s="148"/>
    </row>
    <row r="530" ht="15.75" customHeight="1">
      <c r="A530" s="148"/>
      <c r="B530" s="132" t="s">
        <v>322</v>
      </c>
      <c r="C530" s="133">
        <v>942008.0</v>
      </c>
      <c r="D530" s="152" t="s">
        <v>543</v>
      </c>
      <c r="E530" s="125" t="s">
        <v>296</v>
      </c>
      <c r="F530" s="151" t="s">
        <v>928</v>
      </c>
      <c r="G530" s="148"/>
    </row>
    <row r="531" ht="15.75" customHeight="1">
      <c r="A531" s="148"/>
      <c r="B531" s="132" t="s">
        <v>322</v>
      </c>
      <c r="C531" s="133">
        <v>942009.0</v>
      </c>
      <c r="D531" s="152" t="s">
        <v>543</v>
      </c>
      <c r="E531" s="125" t="s">
        <v>296</v>
      </c>
      <c r="F531" s="151" t="s">
        <v>929</v>
      </c>
      <c r="G531" s="148"/>
    </row>
    <row r="532" ht="15.75" customHeight="1">
      <c r="A532" s="148"/>
      <c r="B532" s="132" t="s">
        <v>322</v>
      </c>
      <c r="C532" s="133">
        <v>942010.0</v>
      </c>
      <c r="D532" s="152" t="s">
        <v>543</v>
      </c>
      <c r="E532" s="125" t="s">
        <v>296</v>
      </c>
      <c r="F532" s="151" t="s">
        <v>930</v>
      </c>
      <c r="G532" s="148"/>
    </row>
    <row r="533" ht="15.75" customHeight="1">
      <c r="A533" s="148"/>
      <c r="B533" s="132" t="s">
        <v>322</v>
      </c>
      <c r="C533" s="133">
        <v>942011.0</v>
      </c>
      <c r="D533" s="152" t="s">
        <v>543</v>
      </c>
      <c r="E533" s="125" t="s">
        <v>296</v>
      </c>
      <c r="F533" s="151" t="s">
        <v>931</v>
      </c>
      <c r="G533" s="148"/>
    </row>
    <row r="534" ht="15.75" customHeight="1">
      <c r="A534" s="148"/>
      <c r="B534" s="132" t="s">
        <v>322</v>
      </c>
      <c r="C534" s="133">
        <v>942012.0</v>
      </c>
      <c r="D534" s="152" t="s">
        <v>543</v>
      </c>
      <c r="E534" s="125" t="s">
        <v>296</v>
      </c>
      <c r="F534" s="151" t="s">
        <v>932</v>
      </c>
      <c r="G534" s="148"/>
    </row>
    <row r="535" ht="15.75" customHeight="1">
      <c r="A535" s="148"/>
      <c r="B535" s="132" t="s">
        <v>322</v>
      </c>
      <c r="C535" s="133">
        <v>942013.0</v>
      </c>
      <c r="D535" s="152" t="s">
        <v>543</v>
      </c>
      <c r="E535" s="125" t="s">
        <v>296</v>
      </c>
      <c r="F535" s="151" t="s">
        <v>933</v>
      </c>
      <c r="G535" s="148"/>
    </row>
    <row r="536" ht="15.75" customHeight="1">
      <c r="A536" s="148"/>
      <c r="B536" s="132" t="s">
        <v>322</v>
      </c>
      <c r="C536" s="133">
        <v>942014.0</v>
      </c>
      <c r="D536" s="152" t="s">
        <v>543</v>
      </c>
      <c r="E536" s="125" t="s">
        <v>296</v>
      </c>
      <c r="F536" s="151" t="s">
        <v>934</v>
      </c>
      <c r="G536" s="148"/>
    </row>
    <row r="537" ht="15.75" customHeight="1">
      <c r="A537" s="148"/>
      <c r="B537" s="132" t="s">
        <v>322</v>
      </c>
      <c r="C537" s="133">
        <v>942015.0</v>
      </c>
      <c r="D537" s="152" t="s">
        <v>543</v>
      </c>
      <c r="E537" s="125" t="s">
        <v>296</v>
      </c>
      <c r="F537" s="151" t="s">
        <v>935</v>
      </c>
      <c r="G537" s="148"/>
    </row>
    <row r="538" ht="15.75" customHeight="1">
      <c r="A538" s="148"/>
      <c r="B538" s="132" t="s">
        <v>322</v>
      </c>
      <c r="C538" s="133">
        <v>942016.0</v>
      </c>
      <c r="D538" s="152" t="s">
        <v>543</v>
      </c>
      <c r="E538" s="125" t="s">
        <v>296</v>
      </c>
      <c r="F538" s="151" t="s">
        <v>936</v>
      </c>
      <c r="G538" s="148"/>
    </row>
    <row r="539" ht="15.75" customHeight="1">
      <c r="A539" s="148"/>
      <c r="B539" s="132" t="s">
        <v>322</v>
      </c>
      <c r="C539" s="133">
        <v>942017.0</v>
      </c>
      <c r="D539" s="152" t="s">
        <v>543</v>
      </c>
      <c r="E539" s="125" t="s">
        <v>296</v>
      </c>
      <c r="F539" s="151" t="s">
        <v>937</v>
      </c>
      <c r="G539" s="148"/>
    </row>
    <row r="540" ht="15.75" customHeight="1">
      <c r="A540" s="148"/>
      <c r="B540" s="132" t="s">
        <v>322</v>
      </c>
      <c r="C540" s="133">
        <v>942018.0</v>
      </c>
      <c r="D540" s="152" t="s">
        <v>543</v>
      </c>
      <c r="E540" s="125" t="s">
        <v>296</v>
      </c>
      <c r="F540" s="151" t="s">
        <v>938</v>
      </c>
      <c r="G540" s="148"/>
    </row>
    <row r="541" ht="15.75" customHeight="1">
      <c r="A541" s="148"/>
      <c r="B541" s="132" t="s">
        <v>322</v>
      </c>
      <c r="C541" s="133">
        <v>942019.0</v>
      </c>
      <c r="D541" s="152" t="s">
        <v>543</v>
      </c>
      <c r="E541" s="125" t="s">
        <v>296</v>
      </c>
      <c r="F541" s="151" t="s">
        <v>939</v>
      </c>
      <c r="G541" s="148"/>
    </row>
    <row r="542" ht="15.75" customHeight="1">
      <c r="A542" s="148"/>
      <c r="B542" s="132" t="s">
        <v>322</v>
      </c>
      <c r="C542" s="133">
        <v>942020.0</v>
      </c>
      <c r="D542" s="152" t="s">
        <v>543</v>
      </c>
      <c r="E542" s="125" t="s">
        <v>296</v>
      </c>
      <c r="F542" s="151" t="s">
        <v>940</v>
      </c>
      <c r="G542" s="148"/>
    </row>
    <row r="543" ht="15.75" customHeight="1">
      <c r="A543" s="148"/>
      <c r="B543" s="132" t="s">
        <v>322</v>
      </c>
      <c r="C543" s="133">
        <v>942021.0</v>
      </c>
      <c r="D543" s="152" t="s">
        <v>543</v>
      </c>
      <c r="E543" s="125" t="s">
        <v>296</v>
      </c>
      <c r="F543" s="151" t="s">
        <v>941</v>
      </c>
      <c r="G543" s="148"/>
    </row>
    <row r="544" ht="15.75" customHeight="1">
      <c r="A544" s="148"/>
      <c r="B544" s="132" t="s">
        <v>322</v>
      </c>
      <c r="C544" s="133">
        <v>942022.0</v>
      </c>
      <c r="D544" s="152" t="s">
        <v>543</v>
      </c>
      <c r="E544" s="125" t="s">
        <v>296</v>
      </c>
      <c r="F544" s="151" t="s">
        <v>942</v>
      </c>
      <c r="G544" s="148"/>
    </row>
    <row r="545" ht="15.75" customHeight="1">
      <c r="A545" s="148"/>
      <c r="B545" s="132" t="s">
        <v>322</v>
      </c>
      <c r="C545" s="133">
        <v>942023.0</v>
      </c>
      <c r="D545" s="152" t="s">
        <v>543</v>
      </c>
      <c r="E545" s="125" t="s">
        <v>296</v>
      </c>
      <c r="F545" s="151" t="s">
        <v>943</v>
      </c>
      <c r="G545" s="148"/>
    </row>
    <row r="546" ht="15.75" customHeight="1">
      <c r="A546" s="148"/>
      <c r="B546" s="132" t="s">
        <v>322</v>
      </c>
      <c r="C546" s="133">
        <v>942024.0</v>
      </c>
      <c r="D546" s="152" t="s">
        <v>543</v>
      </c>
      <c r="E546" s="125" t="s">
        <v>296</v>
      </c>
      <c r="F546" s="151" t="s">
        <v>944</v>
      </c>
      <c r="G546" s="148"/>
    </row>
    <row r="547" ht="15.75" customHeight="1">
      <c r="A547" s="148"/>
      <c r="B547" s="132" t="s">
        <v>322</v>
      </c>
      <c r="C547" s="133">
        <v>942027.0</v>
      </c>
      <c r="D547" s="149" t="s">
        <v>397</v>
      </c>
      <c r="E547" s="150" t="s">
        <v>398</v>
      </c>
      <c r="F547" s="151" t="s">
        <v>945</v>
      </c>
      <c r="G547" s="148"/>
    </row>
    <row r="548" ht="15.75" customHeight="1">
      <c r="A548" s="148"/>
      <c r="B548" s="132" t="s">
        <v>322</v>
      </c>
      <c r="C548" s="133">
        <v>942028.0</v>
      </c>
      <c r="D548" s="149" t="s">
        <v>397</v>
      </c>
      <c r="E548" s="150" t="s">
        <v>398</v>
      </c>
      <c r="F548" s="151" t="s">
        <v>946</v>
      </c>
      <c r="G548" s="148"/>
    </row>
    <row r="549" ht="15.75" customHeight="1">
      <c r="A549" s="148"/>
      <c r="B549" s="132" t="s">
        <v>322</v>
      </c>
      <c r="C549" s="133">
        <v>942029.0</v>
      </c>
      <c r="D549" s="149" t="s">
        <v>397</v>
      </c>
      <c r="E549" s="150" t="s">
        <v>398</v>
      </c>
      <c r="F549" s="151" t="s">
        <v>947</v>
      </c>
      <c r="G549" s="148"/>
    </row>
    <row r="550" ht="15.75" customHeight="1">
      <c r="A550" s="148"/>
      <c r="B550" s="132" t="s">
        <v>322</v>
      </c>
      <c r="C550" s="133">
        <v>942030.0</v>
      </c>
      <c r="D550" s="149" t="s">
        <v>397</v>
      </c>
      <c r="E550" s="150" t="s">
        <v>398</v>
      </c>
      <c r="F550" s="151" t="s">
        <v>948</v>
      </c>
      <c r="G550" s="148"/>
    </row>
    <row r="551" ht="15.75" customHeight="1">
      <c r="A551" s="148"/>
      <c r="B551" s="132" t="s">
        <v>322</v>
      </c>
      <c r="C551" s="133">
        <v>942031.0</v>
      </c>
      <c r="D551" s="149" t="s">
        <v>397</v>
      </c>
      <c r="E551" s="150" t="s">
        <v>398</v>
      </c>
      <c r="F551" s="151" t="s">
        <v>949</v>
      </c>
      <c r="G551" s="148"/>
    </row>
    <row r="552" ht="15.75" customHeight="1">
      <c r="A552" s="148"/>
      <c r="B552" s="132" t="s">
        <v>322</v>
      </c>
      <c r="C552" s="133">
        <v>942032.0</v>
      </c>
      <c r="D552" s="149" t="s">
        <v>397</v>
      </c>
      <c r="E552" s="150" t="s">
        <v>398</v>
      </c>
      <c r="F552" s="151" t="s">
        <v>950</v>
      </c>
      <c r="G552" s="148"/>
    </row>
    <row r="553" ht="15.75" customHeight="1">
      <c r="A553" s="148"/>
      <c r="B553" s="132" t="s">
        <v>322</v>
      </c>
      <c r="C553" s="133">
        <v>942033.0</v>
      </c>
      <c r="D553" s="149" t="s">
        <v>397</v>
      </c>
      <c r="E553" s="150" t="s">
        <v>398</v>
      </c>
      <c r="F553" s="151" t="s">
        <v>951</v>
      </c>
      <c r="G553" s="148"/>
    </row>
    <row r="554" ht="15.75" customHeight="1">
      <c r="A554" s="148"/>
      <c r="B554" s="132" t="s">
        <v>322</v>
      </c>
      <c r="C554" s="133">
        <v>942324.0</v>
      </c>
      <c r="D554" s="149" t="s">
        <v>397</v>
      </c>
      <c r="E554" s="150" t="s">
        <v>398</v>
      </c>
      <c r="F554" s="151" t="s">
        <v>952</v>
      </c>
      <c r="G554" s="148"/>
    </row>
    <row r="555" ht="15.75" customHeight="1">
      <c r="A555" s="148"/>
      <c r="B555" s="132" t="s">
        <v>322</v>
      </c>
      <c r="C555" s="133">
        <v>942325.0</v>
      </c>
      <c r="D555" s="149" t="s">
        <v>397</v>
      </c>
      <c r="E555" s="150" t="s">
        <v>398</v>
      </c>
      <c r="F555" s="151" t="s">
        <v>953</v>
      </c>
      <c r="G555" s="148"/>
    </row>
    <row r="556" ht="15.75" customHeight="1">
      <c r="A556" s="148"/>
      <c r="B556" s="132" t="s">
        <v>322</v>
      </c>
      <c r="C556" s="133">
        <v>942326.0</v>
      </c>
      <c r="D556" s="149" t="s">
        <v>397</v>
      </c>
      <c r="E556" s="150" t="s">
        <v>398</v>
      </c>
      <c r="F556" s="151" t="s">
        <v>954</v>
      </c>
      <c r="G556" s="148"/>
    </row>
    <row r="557" ht="15.75" customHeight="1">
      <c r="A557" s="148"/>
      <c r="B557" s="132" t="s">
        <v>322</v>
      </c>
      <c r="C557" s="133">
        <v>942327.0</v>
      </c>
      <c r="D557" s="149" t="s">
        <v>397</v>
      </c>
      <c r="E557" s="150" t="s">
        <v>398</v>
      </c>
      <c r="F557" s="151" t="s">
        <v>955</v>
      </c>
      <c r="G557" s="148"/>
    </row>
    <row r="558" ht="15.75" customHeight="1">
      <c r="A558" s="148"/>
      <c r="B558" s="132" t="s">
        <v>322</v>
      </c>
      <c r="C558" s="133">
        <v>942328.0</v>
      </c>
      <c r="D558" s="149" t="s">
        <v>397</v>
      </c>
      <c r="E558" s="150" t="s">
        <v>398</v>
      </c>
      <c r="F558" s="151" t="s">
        <v>956</v>
      </c>
      <c r="G558" s="148"/>
    </row>
    <row r="559" ht="15.75" customHeight="1">
      <c r="A559" s="148"/>
      <c r="B559" s="132" t="s">
        <v>322</v>
      </c>
      <c r="C559" s="133">
        <v>942329.0</v>
      </c>
      <c r="D559" s="149" t="s">
        <v>397</v>
      </c>
      <c r="E559" s="150" t="s">
        <v>398</v>
      </c>
      <c r="F559" s="151" t="s">
        <v>957</v>
      </c>
      <c r="G559" s="148"/>
    </row>
    <row r="560" ht="15.75" customHeight="1">
      <c r="A560" s="148"/>
      <c r="B560" s="132" t="s">
        <v>322</v>
      </c>
      <c r="C560" s="133">
        <v>942330.0</v>
      </c>
      <c r="D560" s="149" t="s">
        <v>397</v>
      </c>
      <c r="E560" s="150" t="s">
        <v>398</v>
      </c>
      <c r="F560" s="151" t="s">
        <v>958</v>
      </c>
      <c r="G560" s="148"/>
    </row>
    <row r="561" ht="15.75" customHeight="1">
      <c r="A561" s="148"/>
      <c r="B561" s="132" t="s">
        <v>322</v>
      </c>
      <c r="C561" s="133">
        <v>942331.0</v>
      </c>
      <c r="D561" s="149" t="s">
        <v>397</v>
      </c>
      <c r="E561" s="150" t="s">
        <v>398</v>
      </c>
      <c r="F561" s="151" t="s">
        <v>959</v>
      </c>
      <c r="G561" s="148"/>
    </row>
    <row r="562" ht="15.75" customHeight="1">
      <c r="A562" s="148"/>
      <c r="B562" s="132" t="s">
        <v>322</v>
      </c>
      <c r="C562" s="133">
        <v>942332.0</v>
      </c>
      <c r="D562" s="149" t="s">
        <v>397</v>
      </c>
      <c r="E562" s="150" t="s">
        <v>398</v>
      </c>
      <c r="F562" s="151" t="s">
        <v>960</v>
      </c>
      <c r="G562" s="148"/>
    </row>
    <row r="563" ht="15.75" customHeight="1">
      <c r="A563" s="148"/>
      <c r="B563" s="132" t="s">
        <v>322</v>
      </c>
      <c r="C563" s="133">
        <v>942333.0</v>
      </c>
      <c r="D563" s="149" t="s">
        <v>397</v>
      </c>
      <c r="E563" s="150" t="s">
        <v>398</v>
      </c>
      <c r="F563" s="151" t="s">
        <v>961</v>
      </c>
      <c r="G563" s="148"/>
    </row>
    <row r="564" ht="15.75" customHeight="1">
      <c r="A564" s="148"/>
      <c r="B564" s="132" t="s">
        <v>322</v>
      </c>
      <c r="C564" s="133">
        <v>942334.0</v>
      </c>
      <c r="D564" s="149" t="s">
        <v>397</v>
      </c>
      <c r="E564" s="150" t="s">
        <v>398</v>
      </c>
      <c r="F564" s="151" t="s">
        <v>962</v>
      </c>
      <c r="G564" s="148"/>
    </row>
    <row r="565" ht="15.75" customHeight="1">
      <c r="A565" s="148"/>
      <c r="B565" s="132" t="s">
        <v>322</v>
      </c>
      <c r="C565" s="133">
        <v>942335.0</v>
      </c>
      <c r="D565" s="149" t="s">
        <v>397</v>
      </c>
      <c r="E565" s="150" t="s">
        <v>398</v>
      </c>
      <c r="F565" s="151" t="s">
        <v>963</v>
      </c>
      <c r="G565" s="148"/>
    </row>
    <row r="566" ht="15.75" customHeight="1">
      <c r="A566" s="148"/>
      <c r="B566" s="132" t="s">
        <v>322</v>
      </c>
      <c r="C566" s="133">
        <v>942336.0</v>
      </c>
      <c r="D566" s="149" t="s">
        <v>397</v>
      </c>
      <c r="E566" s="150" t="s">
        <v>398</v>
      </c>
      <c r="F566" s="151" t="s">
        <v>964</v>
      </c>
      <c r="G566" s="148"/>
    </row>
    <row r="567" ht="15.75" customHeight="1">
      <c r="A567" s="148"/>
      <c r="B567" s="132" t="s">
        <v>322</v>
      </c>
      <c r="C567" s="133">
        <v>942337.0</v>
      </c>
      <c r="D567" s="149" t="s">
        <v>397</v>
      </c>
      <c r="E567" s="150" t="s">
        <v>398</v>
      </c>
      <c r="F567" s="151" t="s">
        <v>965</v>
      </c>
      <c r="G567" s="148"/>
    </row>
    <row r="568" ht="15.75" customHeight="1">
      <c r="A568" s="148"/>
      <c r="B568" s="132" t="s">
        <v>322</v>
      </c>
      <c r="C568" s="133">
        <v>942338.0</v>
      </c>
      <c r="D568" s="149" t="s">
        <v>397</v>
      </c>
      <c r="E568" s="150" t="s">
        <v>398</v>
      </c>
      <c r="F568" s="151" t="s">
        <v>966</v>
      </c>
      <c r="G568" s="148"/>
    </row>
    <row r="569" ht="15.75" customHeight="1">
      <c r="A569" s="148"/>
      <c r="B569" s="132" t="s">
        <v>322</v>
      </c>
      <c r="C569" s="133">
        <v>942339.0</v>
      </c>
      <c r="D569" s="149" t="s">
        <v>397</v>
      </c>
      <c r="E569" s="150" t="s">
        <v>398</v>
      </c>
      <c r="F569" s="151" t="s">
        <v>967</v>
      </c>
      <c r="G569" s="148"/>
    </row>
    <row r="570" ht="15.75" customHeight="1">
      <c r="A570" s="148"/>
      <c r="B570" s="132" t="s">
        <v>322</v>
      </c>
      <c r="C570" s="133">
        <v>942340.0</v>
      </c>
      <c r="D570" s="149" t="s">
        <v>397</v>
      </c>
      <c r="E570" s="150" t="s">
        <v>398</v>
      </c>
      <c r="F570" s="151" t="s">
        <v>968</v>
      </c>
      <c r="G570" s="148"/>
    </row>
    <row r="571" ht="15.75" customHeight="1">
      <c r="A571" s="148"/>
      <c r="B571" s="132" t="s">
        <v>322</v>
      </c>
      <c r="C571" s="133">
        <v>942341.0</v>
      </c>
      <c r="D571" s="149" t="s">
        <v>397</v>
      </c>
      <c r="E571" s="150" t="s">
        <v>398</v>
      </c>
      <c r="F571" s="151" t="s">
        <v>969</v>
      </c>
      <c r="G571" s="148"/>
    </row>
    <row r="572" ht="15.75" customHeight="1">
      <c r="A572" s="148"/>
      <c r="B572" s="132" t="s">
        <v>322</v>
      </c>
      <c r="C572" s="133">
        <v>942342.0</v>
      </c>
      <c r="D572" s="149" t="s">
        <v>397</v>
      </c>
      <c r="E572" s="150" t="s">
        <v>398</v>
      </c>
      <c r="F572" s="151" t="s">
        <v>970</v>
      </c>
      <c r="G572" s="148"/>
    </row>
    <row r="573" ht="15.75" customHeight="1">
      <c r="A573" s="148"/>
      <c r="B573" s="132" t="s">
        <v>322</v>
      </c>
      <c r="C573" s="133">
        <v>942343.0</v>
      </c>
      <c r="D573" s="149" t="s">
        <v>397</v>
      </c>
      <c r="E573" s="150" t="s">
        <v>398</v>
      </c>
      <c r="F573" s="151" t="s">
        <v>971</v>
      </c>
      <c r="G573" s="148"/>
    </row>
    <row r="574" ht="15.75" customHeight="1">
      <c r="A574" s="148"/>
      <c r="B574" s="132" t="s">
        <v>322</v>
      </c>
      <c r="C574" s="133">
        <v>942344.0</v>
      </c>
      <c r="D574" s="149" t="s">
        <v>397</v>
      </c>
      <c r="E574" s="150" t="s">
        <v>398</v>
      </c>
      <c r="F574" s="151" t="s">
        <v>972</v>
      </c>
      <c r="G574" s="148"/>
    </row>
    <row r="575" ht="15.75" customHeight="1">
      <c r="A575" s="148"/>
      <c r="B575" s="132" t="s">
        <v>322</v>
      </c>
      <c r="C575" s="133">
        <v>942345.0</v>
      </c>
      <c r="D575" s="149" t="s">
        <v>397</v>
      </c>
      <c r="E575" s="150" t="s">
        <v>398</v>
      </c>
      <c r="F575" s="151" t="s">
        <v>973</v>
      </c>
      <c r="G575" s="148"/>
    </row>
    <row r="576" ht="15.75" customHeight="1">
      <c r="A576" s="148"/>
      <c r="B576" s="132" t="s">
        <v>322</v>
      </c>
      <c r="C576" s="133">
        <v>942346.0</v>
      </c>
      <c r="D576" s="149" t="s">
        <v>397</v>
      </c>
      <c r="E576" s="150" t="s">
        <v>398</v>
      </c>
      <c r="F576" s="151" t="s">
        <v>974</v>
      </c>
      <c r="G576" s="148"/>
    </row>
    <row r="577" ht="15.75" customHeight="1">
      <c r="A577" s="148"/>
      <c r="B577" s="132" t="s">
        <v>322</v>
      </c>
      <c r="C577" s="133">
        <v>942347.0</v>
      </c>
      <c r="D577" s="149" t="s">
        <v>397</v>
      </c>
      <c r="E577" s="150" t="s">
        <v>398</v>
      </c>
      <c r="F577" s="151" t="s">
        <v>975</v>
      </c>
      <c r="G577" s="148"/>
    </row>
    <row r="578" ht="15.75" customHeight="1">
      <c r="A578" s="148"/>
      <c r="B578" s="132" t="s">
        <v>322</v>
      </c>
      <c r="C578" s="133">
        <v>942348.0</v>
      </c>
      <c r="D578" s="149" t="s">
        <v>397</v>
      </c>
      <c r="E578" s="150" t="s">
        <v>398</v>
      </c>
      <c r="F578" s="151" t="s">
        <v>976</v>
      </c>
      <c r="G578" s="148"/>
    </row>
    <row r="579" ht="15.75" customHeight="1">
      <c r="A579" s="148"/>
      <c r="B579" s="132" t="s">
        <v>322</v>
      </c>
      <c r="C579" s="133">
        <v>942349.0</v>
      </c>
      <c r="D579" s="149" t="s">
        <v>397</v>
      </c>
      <c r="E579" s="150" t="s">
        <v>398</v>
      </c>
      <c r="F579" s="151" t="s">
        <v>977</v>
      </c>
      <c r="G579" s="148"/>
    </row>
    <row r="580" ht="15.75" customHeight="1">
      <c r="A580" s="148"/>
      <c r="B580" s="132" t="s">
        <v>322</v>
      </c>
      <c r="C580" s="133">
        <v>942354.0</v>
      </c>
      <c r="D580" s="149" t="s">
        <v>397</v>
      </c>
      <c r="E580" s="150" t="s">
        <v>398</v>
      </c>
      <c r="F580" s="151" t="s">
        <v>978</v>
      </c>
      <c r="G580" s="148"/>
    </row>
    <row r="581" ht="15.75" customHeight="1">
      <c r="A581" s="148"/>
      <c r="B581" s="132" t="s">
        <v>322</v>
      </c>
      <c r="C581" s="133">
        <v>942355.0</v>
      </c>
      <c r="D581" s="149" t="s">
        <v>397</v>
      </c>
      <c r="E581" s="150" t="s">
        <v>398</v>
      </c>
      <c r="F581" s="151" t="s">
        <v>979</v>
      </c>
      <c r="G581" s="148"/>
    </row>
    <row r="582" ht="15.75" customHeight="1">
      <c r="A582" s="148"/>
      <c r="B582" s="132" t="s">
        <v>322</v>
      </c>
      <c r="C582" s="133">
        <v>942356.0</v>
      </c>
      <c r="D582" s="149" t="s">
        <v>397</v>
      </c>
      <c r="E582" s="150" t="s">
        <v>398</v>
      </c>
      <c r="F582" s="151" t="s">
        <v>980</v>
      </c>
      <c r="G582" s="148"/>
    </row>
    <row r="583" ht="15.75" customHeight="1">
      <c r="A583" s="148"/>
      <c r="B583" s="132" t="s">
        <v>322</v>
      </c>
      <c r="C583" s="133">
        <v>942357.0</v>
      </c>
      <c r="D583" s="149" t="s">
        <v>397</v>
      </c>
      <c r="E583" s="150" t="s">
        <v>398</v>
      </c>
      <c r="F583" s="151" t="s">
        <v>981</v>
      </c>
      <c r="G583" s="148"/>
    </row>
    <row r="584" ht="15.75" customHeight="1">
      <c r="A584" s="148"/>
      <c r="B584" s="132" t="s">
        <v>322</v>
      </c>
      <c r="C584" s="133">
        <v>942358.0</v>
      </c>
      <c r="D584" s="149" t="s">
        <v>397</v>
      </c>
      <c r="E584" s="150" t="s">
        <v>398</v>
      </c>
      <c r="F584" s="151" t="s">
        <v>982</v>
      </c>
      <c r="G584" s="148"/>
    </row>
    <row r="585" ht="15.75" customHeight="1">
      <c r="A585" s="148"/>
      <c r="B585" s="132" t="s">
        <v>322</v>
      </c>
      <c r="C585" s="133">
        <v>942359.0</v>
      </c>
      <c r="D585" s="149" t="s">
        <v>397</v>
      </c>
      <c r="E585" s="150" t="s">
        <v>398</v>
      </c>
      <c r="F585" s="151" t="s">
        <v>983</v>
      </c>
      <c r="G585" s="148"/>
    </row>
    <row r="586" ht="15.75" customHeight="1">
      <c r="A586" s="148"/>
      <c r="B586" s="132" t="s">
        <v>322</v>
      </c>
      <c r="C586" s="133">
        <v>942360.0</v>
      </c>
      <c r="D586" s="149" t="s">
        <v>397</v>
      </c>
      <c r="E586" s="150" t="s">
        <v>398</v>
      </c>
      <c r="F586" s="151" t="s">
        <v>984</v>
      </c>
      <c r="G586" s="148"/>
    </row>
    <row r="587" ht="15.75" customHeight="1">
      <c r="A587" s="148"/>
      <c r="B587" s="132" t="s">
        <v>322</v>
      </c>
      <c r="C587" s="133">
        <v>942361.0</v>
      </c>
      <c r="D587" s="149" t="s">
        <v>397</v>
      </c>
      <c r="E587" s="150" t="s">
        <v>398</v>
      </c>
      <c r="F587" s="151" t="s">
        <v>985</v>
      </c>
      <c r="G587" s="148"/>
    </row>
    <row r="588" ht="15.75" customHeight="1">
      <c r="A588" s="148"/>
      <c r="B588" s="132" t="s">
        <v>322</v>
      </c>
      <c r="C588" s="133">
        <v>942362.0</v>
      </c>
      <c r="D588" s="149" t="s">
        <v>397</v>
      </c>
      <c r="E588" s="150" t="s">
        <v>398</v>
      </c>
      <c r="F588" s="151" t="s">
        <v>986</v>
      </c>
      <c r="G588" s="148"/>
    </row>
    <row r="589" ht="15.75" customHeight="1">
      <c r="A589" s="148"/>
      <c r="B589" s="132" t="s">
        <v>322</v>
      </c>
      <c r="C589" s="133">
        <v>942363.0</v>
      </c>
      <c r="D589" s="149" t="s">
        <v>397</v>
      </c>
      <c r="E589" s="150" t="s">
        <v>398</v>
      </c>
      <c r="F589" s="151" t="s">
        <v>987</v>
      </c>
      <c r="G589" s="148"/>
    </row>
    <row r="590" ht="15.75" customHeight="1">
      <c r="A590" s="148"/>
      <c r="B590" s="132" t="s">
        <v>322</v>
      </c>
      <c r="C590" s="133">
        <v>942364.0</v>
      </c>
      <c r="D590" s="149" t="s">
        <v>397</v>
      </c>
      <c r="E590" s="150" t="s">
        <v>398</v>
      </c>
      <c r="F590" s="151" t="s">
        <v>988</v>
      </c>
      <c r="G590" s="148"/>
    </row>
    <row r="591" ht="15.75" customHeight="1">
      <c r="A591" s="148"/>
      <c r="B591" s="132" t="s">
        <v>322</v>
      </c>
      <c r="C591" s="133">
        <v>942365.0</v>
      </c>
      <c r="D591" s="149" t="s">
        <v>397</v>
      </c>
      <c r="E591" s="150" t="s">
        <v>398</v>
      </c>
      <c r="F591" s="151" t="s">
        <v>989</v>
      </c>
      <c r="G591" s="148"/>
    </row>
    <row r="592" ht="15.75" customHeight="1">
      <c r="A592" s="148"/>
      <c r="B592" s="132" t="s">
        <v>322</v>
      </c>
      <c r="C592" s="133">
        <v>942366.0</v>
      </c>
      <c r="D592" s="149" t="s">
        <v>397</v>
      </c>
      <c r="E592" s="150" t="s">
        <v>398</v>
      </c>
      <c r="F592" s="151" t="s">
        <v>990</v>
      </c>
      <c r="G592" s="148"/>
    </row>
    <row r="593" ht="15.75" customHeight="1">
      <c r="A593" s="148"/>
      <c r="B593" s="132" t="s">
        <v>322</v>
      </c>
      <c r="C593" s="133">
        <v>942367.0</v>
      </c>
      <c r="D593" s="149" t="s">
        <v>397</v>
      </c>
      <c r="E593" s="150" t="s">
        <v>398</v>
      </c>
      <c r="F593" s="151" t="s">
        <v>991</v>
      </c>
      <c r="G593" s="148"/>
    </row>
    <row r="594" ht="15.75" customHeight="1">
      <c r="A594" s="148"/>
      <c r="B594" s="132" t="s">
        <v>322</v>
      </c>
      <c r="C594" s="133">
        <v>942368.0</v>
      </c>
      <c r="D594" s="149" t="s">
        <v>397</v>
      </c>
      <c r="E594" s="150" t="s">
        <v>398</v>
      </c>
      <c r="F594" s="151" t="s">
        <v>992</v>
      </c>
      <c r="G594" s="148"/>
    </row>
    <row r="595" ht="15.75" customHeight="1">
      <c r="A595" s="148"/>
      <c r="B595" s="132" t="s">
        <v>322</v>
      </c>
      <c r="C595" s="133">
        <v>942369.0</v>
      </c>
      <c r="D595" s="149" t="s">
        <v>397</v>
      </c>
      <c r="E595" s="150" t="s">
        <v>398</v>
      </c>
      <c r="F595" s="151" t="s">
        <v>993</v>
      </c>
      <c r="G595" s="148"/>
    </row>
    <row r="596" ht="15.75" customHeight="1">
      <c r="A596" s="148"/>
      <c r="B596" s="132" t="s">
        <v>322</v>
      </c>
      <c r="C596" s="133">
        <v>942370.0</v>
      </c>
      <c r="D596" s="149" t="s">
        <v>397</v>
      </c>
      <c r="E596" s="150" t="s">
        <v>398</v>
      </c>
      <c r="F596" s="151" t="s">
        <v>994</v>
      </c>
      <c r="G596" s="148"/>
    </row>
    <row r="597" ht="15.75" customHeight="1">
      <c r="A597" s="148"/>
      <c r="B597" s="132" t="s">
        <v>322</v>
      </c>
      <c r="C597" s="133">
        <v>942683.0</v>
      </c>
      <c r="D597" s="152" t="s">
        <v>543</v>
      </c>
      <c r="E597" s="125" t="s">
        <v>296</v>
      </c>
      <c r="F597" s="151" t="s">
        <v>995</v>
      </c>
      <c r="G597" s="148"/>
    </row>
    <row r="598" ht="15.75" customHeight="1">
      <c r="A598" s="148"/>
      <c r="B598" s="132" t="s">
        <v>322</v>
      </c>
      <c r="C598" s="133">
        <v>942684.0</v>
      </c>
      <c r="D598" s="152" t="s">
        <v>543</v>
      </c>
      <c r="E598" s="125" t="s">
        <v>296</v>
      </c>
      <c r="F598" s="151" t="s">
        <v>996</v>
      </c>
      <c r="G598" s="148"/>
    </row>
    <row r="599" ht="15.75" customHeight="1">
      <c r="A599" s="148"/>
      <c r="B599" s="132" t="s">
        <v>322</v>
      </c>
      <c r="C599" s="133">
        <v>942685.0</v>
      </c>
      <c r="D599" s="152" t="s">
        <v>543</v>
      </c>
      <c r="E599" s="125" t="s">
        <v>296</v>
      </c>
      <c r="F599" s="151" t="s">
        <v>997</v>
      </c>
      <c r="G599" s="148"/>
    </row>
    <row r="600" ht="15.75" customHeight="1">
      <c r="A600" s="148"/>
      <c r="B600" s="132" t="s">
        <v>322</v>
      </c>
      <c r="C600" s="133">
        <v>942686.0</v>
      </c>
      <c r="D600" s="152" t="s">
        <v>543</v>
      </c>
      <c r="E600" s="125" t="s">
        <v>296</v>
      </c>
      <c r="F600" s="151" t="s">
        <v>998</v>
      </c>
      <c r="G600" s="148"/>
    </row>
    <row r="601" ht="15.75" customHeight="1">
      <c r="A601" s="148"/>
      <c r="B601" s="132" t="s">
        <v>322</v>
      </c>
      <c r="C601" s="133">
        <v>942687.0</v>
      </c>
      <c r="D601" s="152" t="s">
        <v>543</v>
      </c>
      <c r="E601" s="125" t="s">
        <v>296</v>
      </c>
      <c r="F601" s="151" t="s">
        <v>999</v>
      </c>
      <c r="G601" s="148"/>
    </row>
    <row r="602" ht="15.75" customHeight="1">
      <c r="A602" s="148"/>
      <c r="B602" s="132" t="s">
        <v>322</v>
      </c>
      <c r="C602" s="133">
        <v>942688.0</v>
      </c>
      <c r="D602" s="152" t="s">
        <v>543</v>
      </c>
      <c r="E602" s="125" t="s">
        <v>296</v>
      </c>
      <c r="F602" s="151" t="s">
        <v>1000</v>
      </c>
      <c r="G602" s="148"/>
    </row>
    <row r="603" ht="15.75" customHeight="1">
      <c r="A603" s="148"/>
      <c r="B603" s="132" t="s">
        <v>322</v>
      </c>
      <c r="C603" s="133">
        <v>942689.0</v>
      </c>
      <c r="D603" s="152" t="s">
        <v>543</v>
      </c>
      <c r="E603" s="125" t="s">
        <v>296</v>
      </c>
      <c r="F603" s="151" t="s">
        <v>1001</v>
      </c>
      <c r="G603" s="148"/>
    </row>
    <row r="604" ht="15.75" customHeight="1">
      <c r="A604" s="148"/>
      <c r="B604" s="132" t="s">
        <v>322</v>
      </c>
      <c r="C604" s="133">
        <v>942690.0</v>
      </c>
      <c r="D604" s="152" t="s">
        <v>543</v>
      </c>
      <c r="E604" s="125" t="s">
        <v>296</v>
      </c>
      <c r="F604" s="151" t="s">
        <v>1002</v>
      </c>
      <c r="G604" s="148"/>
    </row>
    <row r="605" ht="15.75" customHeight="1">
      <c r="A605" s="148"/>
      <c r="B605" s="132" t="s">
        <v>322</v>
      </c>
      <c r="C605" s="133">
        <v>942691.0</v>
      </c>
      <c r="D605" s="152" t="s">
        <v>543</v>
      </c>
      <c r="E605" s="125" t="s">
        <v>296</v>
      </c>
      <c r="F605" s="151" t="s">
        <v>1003</v>
      </c>
      <c r="G605" s="148"/>
    </row>
    <row r="606" ht="15.75" customHeight="1">
      <c r="A606" s="148"/>
      <c r="B606" s="132" t="s">
        <v>322</v>
      </c>
      <c r="C606" s="133">
        <v>942692.0</v>
      </c>
      <c r="D606" s="152" t="s">
        <v>543</v>
      </c>
      <c r="E606" s="125" t="s">
        <v>296</v>
      </c>
      <c r="F606" s="151" t="s">
        <v>1004</v>
      </c>
      <c r="G606" s="148"/>
    </row>
    <row r="607" ht="15.75" customHeight="1">
      <c r="A607" s="148"/>
      <c r="B607" s="132" t="s">
        <v>322</v>
      </c>
      <c r="C607" s="133">
        <v>942693.0</v>
      </c>
      <c r="D607" s="152" t="s">
        <v>543</v>
      </c>
      <c r="E607" s="125" t="s">
        <v>296</v>
      </c>
      <c r="F607" s="151" t="s">
        <v>1005</v>
      </c>
      <c r="G607" s="148"/>
    </row>
    <row r="608" ht="15.75" customHeight="1">
      <c r="A608" s="148"/>
      <c r="B608" s="132" t="s">
        <v>322</v>
      </c>
      <c r="C608" s="133">
        <v>942694.0</v>
      </c>
      <c r="D608" s="152" t="s">
        <v>543</v>
      </c>
      <c r="E608" s="125" t="s">
        <v>296</v>
      </c>
      <c r="F608" s="151" t="s">
        <v>1006</v>
      </c>
      <c r="G608" s="148"/>
    </row>
    <row r="609" ht="15.75" customHeight="1">
      <c r="A609" s="148"/>
      <c r="B609" s="132" t="s">
        <v>322</v>
      </c>
      <c r="C609" s="133">
        <v>942695.0</v>
      </c>
      <c r="D609" s="152" t="s">
        <v>543</v>
      </c>
      <c r="E609" s="125" t="s">
        <v>296</v>
      </c>
      <c r="F609" s="151" t="s">
        <v>1007</v>
      </c>
      <c r="G609" s="148"/>
    </row>
    <row r="610" ht="15.75" customHeight="1">
      <c r="A610" s="148"/>
      <c r="B610" s="132" t="s">
        <v>322</v>
      </c>
      <c r="C610" s="133">
        <v>942696.0</v>
      </c>
      <c r="D610" s="152" t="s">
        <v>543</v>
      </c>
      <c r="E610" s="125" t="s">
        <v>296</v>
      </c>
      <c r="F610" s="151" t="s">
        <v>1008</v>
      </c>
      <c r="G610" s="148"/>
    </row>
    <row r="611" ht="15.75" customHeight="1">
      <c r="A611" s="148"/>
      <c r="B611" s="132" t="s">
        <v>322</v>
      </c>
      <c r="C611" s="133">
        <v>942697.0</v>
      </c>
      <c r="D611" s="152" t="s">
        <v>543</v>
      </c>
      <c r="E611" s="125" t="s">
        <v>296</v>
      </c>
      <c r="F611" s="151" t="s">
        <v>1009</v>
      </c>
      <c r="G611" s="148"/>
    </row>
    <row r="612" ht="15.75" customHeight="1">
      <c r="A612" s="148"/>
      <c r="B612" s="132" t="s">
        <v>322</v>
      </c>
      <c r="C612" s="133">
        <v>942698.0</v>
      </c>
      <c r="D612" s="152" t="s">
        <v>543</v>
      </c>
      <c r="E612" s="125" t="s">
        <v>296</v>
      </c>
      <c r="F612" s="151" t="s">
        <v>1010</v>
      </c>
      <c r="G612" s="148"/>
    </row>
    <row r="613" ht="15.75" customHeight="1">
      <c r="A613" s="148"/>
      <c r="B613" s="132" t="s">
        <v>322</v>
      </c>
      <c r="C613" s="133">
        <v>942699.0</v>
      </c>
      <c r="D613" s="152" t="s">
        <v>543</v>
      </c>
      <c r="E613" s="125" t="s">
        <v>296</v>
      </c>
      <c r="F613" s="151" t="s">
        <v>1011</v>
      </c>
      <c r="G613" s="148"/>
    </row>
    <row r="614" ht="15.75" customHeight="1">
      <c r="A614" s="148"/>
      <c r="B614" s="132" t="s">
        <v>322</v>
      </c>
      <c r="C614" s="133">
        <v>942700.0</v>
      </c>
      <c r="D614" s="152" t="s">
        <v>543</v>
      </c>
      <c r="E614" s="125" t="s">
        <v>296</v>
      </c>
      <c r="F614" s="151" t="s">
        <v>1012</v>
      </c>
      <c r="G614" s="148"/>
    </row>
    <row r="615" ht="15.75" customHeight="1">
      <c r="A615" s="148"/>
      <c r="B615" s="132" t="s">
        <v>322</v>
      </c>
      <c r="C615" s="133">
        <v>942701.0</v>
      </c>
      <c r="D615" s="152" t="s">
        <v>543</v>
      </c>
      <c r="E615" s="125" t="s">
        <v>296</v>
      </c>
      <c r="F615" s="151" t="s">
        <v>1013</v>
      </c>
      <c r="G615" s="148"/>
    </row>
    <row r="616" ht="15.75" customHeight="1">
      <c r="A616" s="148"/>
      <c r="B616" s="132" t="s">
        <v>322</v>
      </c>
      <c r="C616" s="133">
        <v>942702.0</v>
      </c>
      <c r="D616" s="152" t="s">
        <v>543</v>
      </c>
      <c r="E616" s="125" t="s">
        <v>296</v>
      </c>
      <c r="F616" s="151" t="s">
        <v>1014</v>
      </c>
      <c r="G616" s="148"/>
    </row>
    <row r="617" ht="15.75" customHeight="1">
      <c r="A617" s="148"/>
      <c r="B617" s="132" t="s">
        <v>322</v>
      </c>
      <c r="C617" s="133">
        <v>942703.0</v>
      </c>
      <c r="D617" s="152" t="s">
        <v>543</v>
      </c>
      <c r="E617" s="125" t="s">
        <v>296</v>
      </c>
      <c r="F617" s="151" t="s">
        <v>1015</v>
      </c>
      <c r="G617" s="148"/>
    </row>
    <row r="618" ht="15.75" customHeight="1">
      <c r="A618" s="148"/>
      <c r="B618" s="132" t="s">
        <v>322</v>
      </c>
      <c r="C618" s="133">
        <v>942704.0</v>
      </c>
      <c r="D618" s="152" t="s">
        <v>543</v>
      </c>
      <c r="E618" s="125" t="s">
        <v>296</v>
      </c>
      <c r="F618" s="151" t="s">
        <v>1016</v>
      </c>
      <c r="G618" s="148"/>
    </row>
    <row r="619" ht="15.75" customHeight="1">
      <c r="A619" s="148"/>
      <c r="B619" s="132" t="s">
        <v>322</v>
      </c>
      <c r="C619" s="133">
        <v>942705.0</v>
      </c>
      <c r="D619" s="152" t="s">
        <v>543</v>
      </c>
      <c r="E619" s="125" t="s">
        <v>296</v>
      </c>
      <c r="F619" s="151" t="s">
        <v>1017</v>
      </c>
      <c r="G619" s="148"/>
    </row>
    <row r="620" ht="15.75" customHeight="1">
      <c r="A620" s="148"/>
      <c r="B620" s="132" t="s">
        <v>322</v>
      </c>
      <c r="C620" s="133">
        <v>942706.0</v>
      </c>
      <c r="D620" s="152" t="s">
        <v>543</v>
      </c>
      <c r="E620" s="125" t="s">
        <v>296</v>
      </c>
      <c r="F620" s="151" t="s">
        <v>1018</v>
      </c>
      <c r="G620" s="148"/>
    </row>
    <row r="621" ht="15.75" customHeight="1">
      <c r="A621" s="148"/>
      <c r="B621" s="132" t="s">
        <v>322</v>
      </c>
      <c r="C621" s="133">
        <v>942707.0</v>
      </c>
      <c r="D621" s="152" t="s">
        <v>543</v>
      </c>
      <c r="E621" s="125" t="s">
        <v>296</v>
      </c>
      <c r="F621" s="151" t="s">
        <v>1019</v>
      </c>
      <c r="G621" s="148"/>
    </row>
    <row r="622" ht="15.75" customHeight="1">
      <c r="A622" s="148"/>
      <c r="B622" s="132" t="s">
        <v>322</v>
      </c>
      <c r="C622" s="133">
        <v>942708.0</v>
      </c>
      <c r="D622" s="152" t="s">
        <v>543</v>
      </c>
      <c r="E622" s="125" t="s">
        <v>296</v>
      </c>
      <c r="F622" s="151" t="s">
        <v>1020</v>
      </c>
      <c r="G622" s="148"/>
    </row>
    <row r="623" ht="15.75" customHeight="1">
      <c r="A623" s="148"/>
      <c r="B623" s="132" t="s">
        <v>322</v>
      </c>
      <c r="C623" s="133">
        <v>943041.0</v>
      </c>
      <c r="D623" s="152" t="s">
        <v>543</v>
      </c>
      <c r="E623" s="125" t="s">
        <v>296</v>
      </c>
      <c r="F623" s="151" t="s">
        <v>1021</v>
      </c>
      <c r="G623" s="148"/>
    </row>
    <row r="624" ht="15.75" customHeight="1">
      <c r="A624" s="148"/>
      <c r="B624" s="132" t="s">
        <v>322</v>
      </c>
      <c r="C624" s="133">
        <v>943042.0</v>
      </c>
      <c r="D624" s="152" t="s">
        <v>543</v>
      </c>
      <c r="E624" s="125" t="s">
        <v>296</v>
      </c>
      <c r="F624" s="151" t="s">
        <v>1022</v>
      </c>
      <c r="G624" s="148"/>
    </row>
    <row r="625" ht="15.75" customHeight="1">
      <c r="A625" s="148"/>
      <c r="B625" s="132" t="s">
        <v>322</v>
      </c>
      <c r="C625" s="133">
        <v>943043.0</v>
      </c>
      <c r="D625" s="152" t="s">
        <v>543</v>
      </c>
      <c r="E625" s="125" t="s">
        <v>296</v>
      </c>
      <c r="F625" s="151" t="s">
        <v>1023</v>
      </c>
      <c r="G625" s="148"/>
    </row>
    <row r="626" ht="15.75" customHeight="1">
      <c r="A626" s="148"/>
      <c r="B626" s="132" t="s">
        <v>322</v>
      </c>
      <c r="C626" s="133">
        <v>943044.0</v>
      </c>
      <c r="D626" s="152" t="s">
        <v>543</v>
      </c>
      <c r="E626" s="125" t="s">
        <v>296</v>
      </c>
      <c r="F626" s="151" t="s">
        <v>1024</v>
      </c>
      <c r="G626" s="148"/>
    </row>
    <row r="627" ht="15.75" customHeight="1">
      <c r="A627" s="148"/>
      <c r="B627" s="132" t="s">
        <v>322</v>
      </c>
      <c r="C627" s="133">
        <v>943045.0</v>
      </c>
      <c r="D627" s="152" t="s">
        <v>543</v>
      </c>
      <c r="E627" s="125" t="s">
        <v>296</v>
      </c>
      <c r="F627" s="151" t="s">
        <v>1025</v>
      </c>
      <c r="G627" s="148"/>
    </row>
    <row r="628" ht="15.75" customHeight="1">
      <c r="A628" s="148"/>
      <c r="B628" s="132" t="s">
        <v>322</v>
      </c>
      <c r="C628" s="133">
        <v>943046.0</v>
      </c>
      <c r="D628" s="152" t="s">
        <v>543</v>
      </c>
      <c r="E628" s="125" t="s">
        <v>296</v>
      </c>
      <c r="F628" s="151" t="s">
        <v>1026</v>
      </c>
      <c r="G628" s="148"/>
    </row>
    <row r="629" ht="15.75" customHeight="1">
      <c r="A629" s="148"/>
      <c r="B629" s="132" t="s">
        <v>322</v>
      </c>
      <c r="C629" s="133">
        <v>943047.0</v>
      </c>
      <c r="D629" s="149" t="s">
        <v>397</v>
      </c>
      <c r="E629" s="150" t="s">
        <v>398</v>
      </c>
      <c r="F629" s="151" t="s">
        <v>1027</v>
      </c>
      <c r="G629" s="148"/>
    </row>
    <row r="630" ht="15.75" customHeight="1">
      <c r="A630" s="148"/>
      <c r="B630" s="132" t="s">
        <v>322</v>
      </c>
      <c r="C630" s="133">
        <v>943048.0</v>
      </c>
      <c r="D630" s="149" t="s">
        <v>397</v>
      </c>
      <c r="E630" s="150" t="s">
        <v>398</v>
      </c>
      <c r="F630" s="151" t="s">
        <v>1028</v>
      </c>
      <c r="G630" s="148"/>
    </row>
    <row r="631" ht="15.75" customHeight="1">
      <c r="A631" s="148"/>
      <c r="B631" s="132" t="s">
        <v>322</v>
      </c>
      <c r="C631" s="133">
        <v>943049.0</v>
      </c>
      <c r="D631" s="149" t="s">
        <v>397</v>
      </c>
      <c r="E631" s="150" t="s">
        <v>398</v>
      </c>
      <c r="F631" s="151" t="s">
        <v>1029</v>
      </c>
      <c r="G631" s="148"/>
    </row>
    <row r="632" ht="15.75" customHeight="1">
      <c r="A632" s="148"/>
      <c r="B632" s="132" t="s">
        <v>322</v>
      </c>
      <c r="C632" s="133">
        <v>943050.0</v>
      </c>
      <c r="D632" s="149" t="s">
        <v>397</v>
      </c>
      <c r="E632" s="150" t="s">
        <v>398</v>
      </c>
      <c r="F632" s="151" t="s">
        <v>1030</v>
      </c>
      <c r="G632" s="148"/>
    </row>
    <row r="633" ht="15.75" customHeight="1">
      <c r="A633" s="148"/>
      <c r="B633" s="132" t="s">
        <v>322</v>
      </c>
      <c r="C633" s="133">
        <v>943051.0</v>
      </c>
      <c r="D633" s="152" t="s">
        <v>543</v>
      </c>
      <c r="E633" s="125" t="s">
        <v>296</v>
      </c>
      <c r="F633" s="151" t="s">
        <v>1031</v>
      </c>
      <c r="G633" s="148"/>
    </row>
    <row r="634" ht="15.75" customHeight="1">
      <c r="A634" s="148"/>
      <c r="B634" s="132" t="s">
        <v>322</v>
      </c>
      <c r="C634" s="133">
        <v>943052.0</v>
      </c>
      <c r="D634" s="152" t="s">
        <v>543</v>
      </c>
      <c r="E634" s="125" t="s">
        <v>296</v>
      </c>
      <c r="F634" s="151" t="s">
        <v>1032</v>
      </c>
      <c r="G634" s="148"/>
    </row>
    <row r="635" ht="15.75" customHeight="1">
      <c r="A635" s="148"/>
      <c r="B635" s="132" t="s">
        <v>322</v>
      </c>
      <c r="C635" s="133">
        <v>943053.0</v>
      </c>
      <c r="D635" s="149" t="s">
        <v>397</v>
      </c>
      <c r="E635" s="150" t="s">
        <v>398</v>
      </c>
      <c r="F635" s="151" t="s">
        <v>1033</v>
      </c>
      <c r="G635" s="148"/>
    </row>
    <row r="636" ht="15.75" customHeight="1">
      <c r="A636" s="148"/>
      <c r="B636" s="132" t="s">
        <v>322</v>
      </c>
      <c r="C636" s="133">
        <v>943054.0</v>
      </c>
      <c r="D636" s="149" t="s">
        <v>397</v>
      </c>
      <c r="E636" s="150" t="s">
        <v>398</v>
      </c>
      <c r="F636" s="151" t="s">
        <v>1034</v>
      </c>
      <c r="G636" s="148"/>
    </row>
    <row r="637" ht="15.75" customHeight="1">
      <c r="A637" s="148"/>
      <c r="B637" s="132" t="s">
        <v>322</v>
      </c>
      <c r="C637" s="133">
        <v>943055.0</v>
      </c>
      <c r="D637" s="149" t="s">
        <v>397</v>
      </c>
      <c r="E637" s="150" t="s">
        <v>398</v>
      </c>
      <c r="F637" s="151" t="s">
        <v>1035</v>
      </c>
      <c r="G637" s="148"/>
    </row>
    <row r="638" ht="15.75" customHeight="1">
      <c r="A638" s="148"/>
      <c r="B638" s="132" t="s">
        <v>322</v>
      </c>
      <c r="C638" s="133">
        <v>943056.0</v>
      </c>
      <c r="D638" s="149" t="s">
        <v>397</v>
      </c>
      <c r="E638" s="150" t="s">
        <v>398</v>
      </c>
      <c r="F638" s="151" t="s">
        <v>1036</v>
      </c>
      <c r="G638" s="148"/>
    </row>
    <row r="639" ht="15.75" customHeight="1">
      <c r="A639" s="148"/>
      <c r="B639" s="132" t="s">
        <v>322</v>
      </c>
      <c r="C639" s="133">
        <v>943057.0</v>
      </c>
      <c r="D639" s="149" t="s">
        <v>397</v>
      </c>
      <c r="E639" s="150" t="s">
        <v>398</v>
      </c>
      <c r="F639" s="151" t="s">
        <v>1037</v>
      </c>
      <c r="G639" s="148"/>
    </row>
    <row r="640" ht="15.75" customHeight="1">
      <c r="A640" s="148"/>
      <c r="B640" s="132" t="s">
        <v>322</v>
      </c>
      <c r="C640" s="133">
        <v>943058.0</v>
      </c>
      <c r="D640" s="149" t="s">
        <v>397</v>
      </c>
      <c r="E640" s="150" t="s">
        <v>398</v>
      </c>
      <c r="F640" s="151" t="s">
        <v>1038</v>
      </c>
      <c r="G640" s="148"/>
    </row>
    <row r="641" ht="15.75" customHeight="1">
      <c r="A641" s="148"/>
      <c r="B641" s="132" t="s">
        <v>322</v>
      </c>
      <c r="C641" s="133">
        <v>943059.0</v>
      </c>
      <c r="D641" s="149" t="s">
        <v>397</v>
      </c>
      <c r="E641" s="150" t="s">
        <v>398</v>
      </c>
      <c r="F641" s="151" t="s">
        <v>1039</v>
      </c>
      <c r="G641" s="148"/>
    </row>
    <row r="642" ht="15.75" customHeight="1">
      <c r="A642" s="148"/>
      <c r="B642" s="132" t="s">
        <v>322</v>
      </c>
      <c r="C642" s="133">
        <v>943060.0</v>
      </c>
      <c r="D642" s="149" t="s">
        <v>397</v>
      </c>
      <c r="E642" s="150" t="s">
        <v>398</v>
      </c>
      <c r="F642" s="151" t="s">
        <v>1040</v>
      </c>
      <c r="G642" s="148"/>
    </row>
    <row r="643" ht="15.75" customHeight="1">
      <c r="A643" s="148"/>
      <c r="B643" s="132" t="s">
        <v>322</v>
      </c>
      <c r="C643" s="133">
        <v>943061.0</v>
      </c>
      <c r="D643" s="149" t="s">
        <v>397</v>
      </c>
      <c r="E643" s="150" t="s">
        <v>398</v>
      </c>
      <c r="F643" s="151" t="s">
        <v>1041</v>
      </c>
      <c r="G643" s="148"/>
    </row>
    <row r="644" ht="15.75" customHeight="1">
      <c r="A644" s="148"/>
      <c r="B644" s="132" t="s">
        <v>322</v>
      </c>
      <c r="C644" s="133">
        <v>943062.0</v>
      </c>
      <c r="D644" s="149" t="s">
        <v>397</v>
      </c>
      <c r="E644" s="150" t="s">
        <v>398</v>
      </c>
      <c r="F644" s="151" t="s">
        <v>1042</v>
      </c>
      <c r="G644" s="148"/>
    </row>
    <row r="645" ht="15.75" customHeight="1">
      <c r="A645" s="148"/>
      <c r="B645" s="132" t="s">
        <v>322</v>
      </c>
      <c r="C645" s="133">
        <v>943063.0</v>
      </c>
      <c r="D645" s="149" t="s">
        <v>397</v>
      </c>
      <c r="E645" s="150" t="s">
        <v>398</v>
      </c>
      <c r="F645" s="151" t="s">
        <v>1043</v>
      </c>
      <c r="G645" s="148"/>
    </row>
    <row r="646" ht="15.75" customHeight="1">
      <c r="A646" s="148"/>
      <c r="B646" s="132" t="s">
        <v>322</v>
      </c>
      <c r="C646" s="133">
        <v>943064.0</v>
      </c>
      <c r="D646" s="149" t="s">
        <v>397</v>
      </c>
      <c r="E646" s="150" t="s">
        <v>398</v>
      </c>
      <c r="F646" s="151" t="s">
        <v>1044</v>
      </c>
      <c r="G646" s="148"/>
    </row>
    <row r="647" ht="15.75" customHeight="1">
      <c r="A647" s="148"/>
      <c r="B647" s="132" t="s">
        <v>322</v>
      </c>
      <c r="C647" s="133">
        <v>943065.0</v>
      </c>
      <c r="D647" s="149" t="s">
        <v>397</v>
      </c>
      <c r="E647" s="150" t="s">
        <v>398</v>
      </c>
      <c r="F647" s="151" t="s">
        <v>1045</v>
      </c>
      <c r="G647" s="148"/>
    </row>
    <row r="648" ht="15.75" customHeight="1">
      <c r="A648" s="148"/>
      <c r="B648" s="132" t="s">
        <v>322</v>
      </c>
      <c r="C648" s="133">
        <v>943385.0</v>
      </c>
      <c r="D648" s="149" t="s">
        <v>397</v>
      </c>
      <c r="E648" s="150" t="s">
        <v>398</v>
      </c>
      <c r="F648" s="151" t="s">
        <v>1046</v>
      </c>
      <c r="G648" s="148"/>
    </row>
    <row r="649" ht="15.75" customHeight="1">
      <c r="A649" s="148"/>
      <c r="B649" s="132" t="s">
        <v>322</v>
      </c>
      <c r="C649" s="133">
        <v>943386.0</v>
      </c>
      <c r="D649" s="149" t="s">
        <v>397</v>
      </c>
      <c r="E649" s="150" t="s">
        <v>398</v>
      </c>
      <c r="F649" s="151" t="s">
        <v>1047</v>
      </c>
      <c r="G649" s="148"/>
    </row>
    <row r="650" ht="15.75" customHeight="1">
      <c r="A650" s="148"/>
      <c r="B650" s="132" t="s">
        <v>322</v>
      </c>
      <c r="C650" s="133">
        <v>943387.0</v>
      </c>
      <c r="D650" s="149" t="s">
        <v>397</v>
      </c>
      <c r="E650" s="150" t="s">
        <v>398</v>
      </c>
      <c r="F650" s="151" t="s">
        <v>1048</v>
      </c>
      <c r="G650" s="148"/>
    </row>
    <row r="651" ht="15.75" customHeight="1">
      <c r="A651" s="148"/>
      <c r="B651" s="132" t="s">
        <v>322</v>
      </c>
      <c r="C651" s="133">
        <v>943388.0</v>
      </c>
      <c r="D651" s="152" t="s">
        <v>543</v>
      </c>
      <c r="E651" s="125" t="s">
        <v>296</v>
      </c>
      <c r="F651" s="151" t="s">
        <v>1049</v>
      </c>
      <c r="G651" s="148"/>
    </row>
    <row r="652" ht="15.75" customHeight="1">
      <c r="A652" s="148"/>
      <c r="B652" s="132" t="s">
        <v>322</v>
      </c>
      <c r="C652" s="133">
        <v>943389.0</v>
      </c>
      <c r="D652" s="152" t="s">
        <v>543</v>
      </c>
      <c r="E652" s="125" t="s">
        <v>296</v>
      </c>
      <c r="F652" s="151" t="s">
        <v>1050</v>
      </c>
      <c r="G652" s="148"/>
    </row>
    <row r="653" ht="15.75" customHeight="1">
      <c r="A653" s="148"/>
      <c r="B653" s="132" t="s">
        <v>322</v>
      </c>
      <c r="C653" s="133">
        <v>943390.0</v>
      </c>
      <c r="D653" s="152" t="s">
        <v>543</v>
      </c>
      <c r="E653" s="125" t="s">
        <v>296</v>
      </c>
      <c r="F653" s="151" t="s">
        <v>1051</v>
      </c>
      <c r="G653" s="148"/>
    </row>
    <row r="654" ht="15.75" customHeight="1">
      <c r="A654" s="148"/>
      <c r="B654" s="132" t="s">
        <v>322</v>
      </c>
      <c r="C654" s="133">
        <v>943391.0</v>
      </c>
      <c r="D654" s="152" t="s">
        <v>543</v>
      </c>
      <c r="E654" s="125" t="s">
        <v>296</v>
      </c>
      <c r="F654" s="151" t="s">
        <v>1052</v>
      </c>
      <c r="G654" s="148"/>
    </row>
    <row r="655" ht="15.75" customHeight="1">
      <c r="A655" s="148"/>
      <c r="B655" s="132" t="s">
        <v>322</v>
      </c>
      <c r="C655" s="133">
        <v>943392.0</v>
      </c>
      <c r="D655" s="152" t="s">
        <v>543</v>
      </c>
      <c r="E655" s="125" t="s">
        <v>296</v>
      </c>
      <c r="F655" s="151" t="s">
        <v>1053</v>
      </c>
      <c r="G655" s="148"/>
    </row>
    <row r="656" ht="15.75" customHeight="1">
      <c r="A656" s="148"/>
      <c r="B656" s="132" t="s">
        <v>322</v>
      </c>
      <c r="C656" s="133">
        <v>943393.0</v>
      </c>
      <c r="D656" s="152" t="s">
        <v>543</v>
      </c>
      <c r="E656" s="125" t="s">
        <v>296</v>
      </c>
      <c r="F656" s="151" t="s">
        <v>1054</v>
      </c>
      <c r="G656" s="148"/>
    </row>
    <row r="657" ht="15.75" customHeight="1">
      <c r="A657" s="148"/>
      <c r="B657" s="132" t="s">
        <v>322</v>
      </c>
      <c r="C657" s="133">
        <v>943394.0</v>
      </c>
      <c r="D657" s="152" t="s">
        <v>543</v>
      </c>
      <c r="E657" s="125" t="s">
        <v>296</v>
      </c>
      <c r="F657" s="151" t="s">
        <v>1055</v>
      </c>
      <c r="G657" s="148"/>
    </row>
    <row r="658" ht="15.75" customHeight="1">
      <c r="A658" s="148"/>
      <c r="B658" s="132" t="s">
        <v>322</v>
      </c>
      <c r="C658" s="133">
        <v>943395.0</v>
      </c>
      <c r="D658" s="152" t="s">
        <v>543</v>
      </c>
      <c r="E658" s="125" t="s">
        <v>296</v>
      </c>
      <c r="F658" s="151" t="s">
        <v>1056</v>
      </c>
      <c r="G658" s="148"/>
    </row>
    <row r="659" ht="15.75" customHeight="1">
      <c r="A659" s="148"/>
      <c r="B659" s="132" t="s">
        <v>322</v>
      </c>
      <c r="C659" s="133">
        <v>943396.0</v>
      </c>
      <c r="D659" s="152" t="s">
        <v>543</v>
      </c>
      <c r="E659" s="125" t="s">
        <v>296</v>
      </c>
      <c r="F659" s="151" t="s">
        <v>1057</v>
      </c>
      <c r="G659" s="148"/>
    </row>
    <row r="660" ht="15.75" customHeight="1">
      <c r="A660" s="148"/>
      <c r="B660" s="132" t="s">
        <v>322</v>
      </c>
      <c r="C660" s="133">
        <v>943397.0</v>
      </c>
      <c r="D660" s="152" t="s">
        <v>543</v>
      </c>
      <c r="E660" s="125" t="s">
        <v>296</v>
      </c>
      <c r="F660" s="151" t="s">
        <v>1058</v>
      </c>
      <c r="G660" s="148"/>
    </row>
    <row r="661" ht="15.75" customHeight="1">
      <c r="A661" s="148"/>
      <c r="B661" s="132" t="s">
        <v>322</v>
      </c>
      <c r="C661" s="133">
        <v>943398.0</v>
      </c>
      <c r="D661" s="152" t="s">
        <v>543</v>
      </c>
      <c r="E661" s="125" t="s">
        <v>296</v>
      </c>
      <c r="F661" s="151" t="s">
        <v>1059</v>
      </c>
      <c r="G661" s="148"/>
    </row>
    <row r="662" ht="15.75" customHeight="1">
      <c r="A662" s="148"/>
      <c r="B662" s="132" t="s">
        <v>322</v>
      </c>
      <c r="C662" s="133">
        <v>943399.0</v>
      </c>
      <c r="D662" s="152" t="s">
        <v>543</v>
      </c>
      <c r="E662" s="125" t="s">
        <v>296</v>
      </c>
      <c r="F662" s="151" t="s">
        <v>1060</v>
      </c>
      <c r="G662" s="148"/>
    </row>
    <row r="663" ht="15.75" customHeight="1">
      <c r="A663" s="148"/>
      <c r="B663" s="132" t="s">
        <v>322</v>
      </c>
      <c r="C663" s="133">
        <v>943400.0</v>
      </c>
      <c r="D663" s="152" t="s">
        <v>543</v>
      </c>
      <c r="E663" s="125" t="s">
        <v>296</v>
      </c>
      <c r="F663" s="151" t="s">
        <v>1061</v>
      </c>
      <c r="G663" s="148"/>
    </row>
    <row r="664" ht="15.75" customHeight="1">
      <c r="A664" s="148"/>
      <c r="B664" s="132" t="s">
        <v>322</v>
      </c>
      <c r="C664" s="133">
        <v>943401.0</v>
      </c>
      <c r="D664" s="152" t="s">
        <v>543</v>
      </c>
      <c r="E664" s="125" t="s">
        <v>296</v>
      </c>
      <c r="F664" s="151" t="s">
        <v>1062</v>
      </c>
      <c r="G664" s="148"/>
    </row>
    <row r="665" ht="15.75" customHeight="1">
      <c r="A665" s="148"/>
      <c r="B665" s="132" t="s">
        <v>322</v>
      </c>
      <c r="C665" s="133">
        <v>943402.0</v>
      </c>
      <c r="D665" s="152" t="s">
        <v>543</v>
      </c>
      <c r="E665" s="125" t="s">
        <v>296</v>
      </c>
      <c r="F665" s="151" t="s">
        <v>1063</v>
      </c>
      <c r="G665" s="148"/>
    </row>
    <row r="666" ht="15.75" customHeight="1">
      <c r="A666" s="148"/>
      <c r="B666" s="132" t="s">
        <v>322</v>
      </c>
      <c r="C666" s="133">
        <v>943403.0</v>
      </c>
      <c r="D666" s="152" t="s">
        <v>543</v>
      </c>
      <c r="E666" s="125" t="s">
        <v>296</v>
      </c>
      <c r="F666" s="151" t="s">
        <v>1064</v>
      </c>
      <c r="G666" s="148"/>
    </row>
    <row r="667" ht="15.75" customHeight="1">
      <c r="A667" s="148"/>
      <c r="B667" s="132" t="s">
        <v>322</v>
      </c>
      <c r="C667" s="133">
        <v>943404.0</v>
      </c>
      <c r="D667" s="152" t="s">
        <v>543</v>
      </c>
      <c r="E667" s="125" t="s">
        <v>296</v>
      </c>
      <c r="F667" s="151" t="s">
        <v>1065</v>
      </c>
      <c r="G667" s="148"/>
    </row>
    <row r="668" ht="15.75" customHeight="1">
      <c r="A668" s="148"/>
      <c r="B668" s="132" t="s">
        <v>322</v>
      </c>
      <c r="C668" s="133">
        <v>943405.0</v>
      </c>
      <c r="D668" s="152" t="s">
        <v>543</v>
      </c>
      <c r="E668" s="125" t="s">
        <v>296</v>
      </c>
      <c r="F668" s="151" t="s">
        <v>1066</v>
      </c>
      <c r="G668" s="148"/>
    </row>
    <row r="669" ht="15.75" customHeight="1">
      <c r="A669" s="148"/>
      <c r="B669" s="132" t="s">
        <v>322</v>
      </c>
      <c r="C669" s="133">
        <v>943406.0</v>
      </c>
      <c r="D669" s="152" t="s">
        <v>543</v>
      </c>
      <c r="E669" s="125" t="s">
        <v>296</v>
      </c>
      <c r="F669" s="151" t="s">
        <v>1067</v>
      </c>
      <c r="G669" s="148"/>
    </row>
    <row r="670" ht="15.75" customHeight="1">
      <c r="A670" s="148"/>
      <c r="B670" s="132" t="s">
        <v>322</v>
      </c>
      <c r="C670" s="133">
        <v>943407.0</v>
      </c>
      <c r="D670" s="152" t="s">
        <v>543</v>
      </c>
      <c r="E670" s="125" t="s">
        <v>296</v>
      </c>
      <c r="F670" s="151" t="s">
        <v>1068</v>
      </c>
      <c r="G670" s="148"/>
    </row>
    <row r="671" ht="15.75" customHeight="1">
      <c r="A671" s="148"/>
      <c r="B671" s="132" t="s">
        <v>322</v>
      </c>
      <c r="C671" s="133">
        <v>943408.0</v>
      </c>
      <c r="D671" s="152" t="s">
        <v>543</v>
      </c>
      <c r="E671" s="125" t="s">
        <v>296</v>
      </c>
      <c r="F671" s="151" t="s">
        <v>1069</v>
      </c>
      <c r="G671" s="148"/>
    </row>
    <row r="672" ht="15.75" customHeight="1">
      <c r="A672" s="148"/>
      <c r="B672" s="132" t="s">
        <v>322</v>
      </c>
      <c r="C672" s="133">
        <v>943409.0</v>
      </c>
      <c r="D672" s="152" t="s">
        <v>543</v>
      </c>
      <c r="E672" s="125" t="s">
        <v>296</v>
      </c>
      <c r="F672" s="151" t="s">
        <v>1070</v>
      </c>
      <c r="G672" s="148"/>
    </row>
    <row r="673" ht="15.75" customHeight="1">
      <c r="A673" s="148"/>
      <c r="B673" s="132" t="s">
        <v>322</v>
      </c>
      <c r="C673" s="133">
        <v>943410.0</v>
      </c>
      <c r="D673" s="152" t="s">
        <v>543</v>
      </c>
      <c r="E673" s="125" t="s">
        <v>296</v>
      </c>
      <c r="F673" s="151" t="s">
        <v>1071</v>
      </c>
      <c r="G673" s="148"/>
    </row>
    <row r="674" ht="15.75" customHeight="1">
      <c r="A674" s="148"/>
      <c r="B674" s="132" t="s">
        <v>322</v>
      </c>
      <c r="C674" s="133">
        <v>1096446.0</v>
      </c>
      <c r="D674" s="152" t="s">
        <v>543</v>
      </c>
      <c r="E674" s="125" t="s">
        <v>296</v>
      </c>
      <c r="F674" s="151" t="s">
        <v>1072</v>
      </c>
      <c r="G674" s="148"/>
    </row>
    <row r="675" ht="15.75" customHeight="1">
      <c r="A675" s="148"/>
      <c r="B675" s="132" t="s">
        <v>322</v>
      </c>
      <c r="C675" s="133">
        <v>1096447.0</v>
      </c>
      <c r="D675" s="152" t="s">
        <v>543</v>
      </c>
      <c r="E675" s="125" t="s">
        <v>296</v>
      </c>
      <c r="F675" s="151" t="s">
        <v>1073</v>
      </c>
      <c r="G675" s="148"/>
    </row>
    <row r="676" ht="15.75" customHeight="1">
      <c r="A676" s="148"/>
      <c r="B676" s="132" t="s">
        <v>322</v>
      </c>
      <c r="C676" s="133">
        <v>1096448.0</v>
      </c>
      <c r="D676" s="152" t="s">
        <v>543</v>
      </c>
      <c r="E676" s="125" t="s">
        <v>296</v>
      </c>
      <c r="F676" s="151" t="s">
        <v>1074</v>
      </c>
      <c r="G676" s="148"/>
    </row>
    <row r="677" ht="15.75" customHeight="1">
      <c r="A677" s="148"/>
      <c r="B677" s="132" t="s">
        <v>322</v>
      </c>
      <c r="C677" s="133">
        <v>1096449.0</v>
      </c>
      <c r="D677" s="152" t="s">
        <v>543</v>
      </c>
      <c r="E677" s="125" t="s">
        <v>296</v>
      </c>
      <c r="F677" s="151" t="s">
        <v>1075</v>
      </c>
      <c r="G677" s="148"/>
    </row>
    <row r="678" ht="15.75" customHeight="1">
      <c r="A678" s="148"/>
      <c r="B678" s="132" t="s">
        <v>322</v>
      </c>
      <c r="C678" s="133">
        <v>1096450.0</v>
      </c>
      <c r="D678" s="152" t="s">
        <v>543</v>
      </c>
      <c r="E678" s="125" t="s">
        <v>296</v>
      </c>
      <c r="F678" s="151" t="s">
        <v>1076</v>
      </c>
      <c r="G678" s="148"/>
    </row>
    <row r="679" ht="15.75" customHeight="1">
      <c r="A679" s="148"/>
      <c r="B679" s="132" t="s">
        <v>322</v>
      </c>
      <c r="C679" s="133">
        <v>1096451.0</v>
      </c>
      <c r="D679" s="152" t="s">
        <v>543</v>
      </c>
      <c r="E679" s="125" t="s">
        <v>296</v>
      </c>
      <c r="F679" s="151" t="s">
        <v>1077</v>
      </c>
      <c r="G679" s="148"/>
    </row>
    <row r="680" ht="15.75" customHeight="1">
      <c r="A680" s="148"/>
      <c r="B680" s="132" t="s">
        <v>322</v>
      </c>
      <c r="C680" s="133">
        <v>1096454.0</v>
      </c>
      <c r="D680" s="152" t="s">
        <v>543</v>
      </c>
      <c r="E680" s="125" t="s">
        <v>296</v>
      </c>
      <c r="F680" s="151" t="s">
        <v>1078</v>
      </c>
      <c r="G680" s="148"/>
    </row>
    <row r="681" ht="15.75" customHeight="1">
      <c r="A681" s="148"/>
      <c r="B681" s="132" t="s">
        <v>322</v>
      </c>
      <c r="C681" s="133">
        <v>1096455.0</v>
      </c>
      <c r="D681" s="152" t="s">
        <v>543</v>
      </c>
      <c r="E681" s="125" t="s">
        <v>296</v>
      </c>
      <c r="F681" s="151" t="s">
        <v>1079</v>
      </c>
      <c r="G681" s="148"/>
    </row>
    <row r="682" ht="15.75" customHeight="1">
      <c r="A682" s="148"/>
      <c r="B682" s="132" t="s">
        <v>322</v>
      </c>
      <c r="C682" s="133">
        <v>1096456.0</v>
      </c>
      <c r="D682" s="152" t="s">
        <v>543</v>
      </c>
      <c r="E682" s="125" t="s">
        <v>296</v>
      </c>
      <c r="F682" s="151" t="s">
        <v>1080</v>
      </c>
      <c r="G682" s="148"/>
    </row>
    <row r="683" ht="15.75" customHeight="1">
      <c r="A683" s="148"/>
      <c r="B683" s="132" t="s">
        <v>322</v>
      </c>
      <c r="C683" s="133">
        <v>1096457.0</v>
      </c>
      <c r="D683" s="152" t="s">
        <v>543</v>
      </c>
      <c r="E683" s="125" t="s">
        <v>296</v>
      </c>
      <c r="F683" s="151" t="s">
        <v>1081</v>
      </c>
      <c r="G683" s="148"/>
    </row>
    <row r="684" ht="15.75" customHeight="1">
      <c r="A684" s="148"/>
      <c r="B684" s="132" t="s">
        <v>322</v>
      </c>
      <c r="C684" s="133">
        <v>1096764.0</v>
      </c>
      <c r="D684" s="149" t="s">
        <v>397</v>
      </c>
      <c r="E684" s="150" t="s">
        <v>398</v>
      </c>
      <c r="F684" s="151" t="s">
        <v>1082</v>
      </c>
      <c r="G684" s="148"/>
    </row>
    <row r="685" ht="15.75" customHeight="1">
      <c r="A685" s="148"/>
      <c r="B685" s="132" t="s">
        <v>322</v>
      </c>
      <c r="C685" s="133">
        <v>1096765.0</v>
      </c>
      <c r="D685" s="149" t="s">
        <v>397</v>
      </c>
      <c r="E685" s="150" t="s">
        <v>398</v>
      </c>
      <c r="F685" s="151" t="s">
        <v>1083</v>
      </c>
      <c r="G685" s="148"/>
    </row>
    <row r="686" ht="15.75" customHeight="1">
      <c r="A686" s="148"/>
      <c r="B686" s="132" t="s">
        <v>322</v>
      </c>
      <c r="C686" s="133">
        <v>1096766.0</v>
      </c>
      <c r="D686" s="149" t="s">
        <v>397</v>
      </c>
      <c r="E686" s="150" t="s">
        <v>398</v>
      </c>
      <c r="F686" s="151" t="s">
        <v>1084</v>
      </c>
      <c r="G686" s="148"/>
    </row>
    <row r="687" ht="15.75" customHeight="1">
      <c r="A687" s="148"/>
      <c r="B687" s="132" t="s">
        <v>322</v>
      </c>
      <c r="C687" s="133">
        <v>1096767.0</v>
      </c>
      <c r="D687" s="149" t="s">
        <v>397</v>
      </c>
      <c r="E687" s="150" t="s">
        <v>398</v>
      </c>
      <c r="F687" s="151" t="s">
        <v>1085</v>
      </c>
      <c r="G687" s="148"/>
    </row>
    <row r="688" ht="15.75" customHeight="1">
      <c r="A688" s="148"/>
      <c r="B688" s="132" t="s">
        <v>322</v>
      </c>
      <c r="C688" s="133">
        <v>1096768.0</v>
      </c>
      <c r="D688" s="149" t="s">
        <v>397</v>
      </c>
      <c r="E688" s="150" t="s">
        <v>398</v>
      </c>
      <c r="F688" s="151" t="s">
        <v>1086</v>
      </c>
      <c r="G688" s="148"/>
    </row>
    <row r="689" ht="15.75" customHeight="1">
      <c r="A689" s="148"/>
      <c r="B689" s="132" t="s">
        <v>322</v>
      </c>
      <c r="C689" s="133">
        <v>1096769.0</v>
      </c>
      <c r="D689" s="149" t="s">
        <v>397</v>
      </c>
      <c r="E689" s="150" t="s">
        <v>398</v>
      </c>
      <c r="F689" s="151" t="s">
        <v>1087</v>
      </c>
      <c r="G689" s="148"/>
    </row>
    <row r="690" ht="15.75" customHeight="1">
      <c r="A690" s="148"/>
      <c r="B690" s="132" t="s">
        <v>322</v>
      </c>
      <c r="C690" s="133">
        <v>1096770.0</v>
      </c>
      <c r="D690" s="149" t="s">
        <v>397</v>
      </c>
      <c r="E690" s="150" t="s">
        <v>398</v>
      </c>
      <c r="F690" s="151" t="s">
        <v>1088</v>
      </c>
      <c r="G690" s="148"/>
    </row>
    <row r="691" ht="15.75" customHeight="1">
      <c r="A691" s="148"/>
      <c r="B691" s="132" t="s">
        <v>322</v>
      </c>
      <c r="C691" s="133">
        <v>1096771.0</v>
      </c>
      <c r="D691" s="149" t="s">
        <v>397</v>
      </c>
      <c r="E691" s="150" t="s">
        <v>398</v>
      </c>
      <c r="F691" s="151" t="s">
        <v>1089</v>
      </c>
      <c r="G691" s="148"/>
    </row>
    <row r="692" ht="15.75" customHeight="1">
      <c r="A692" s="148"/>
      <c r="B692" s="132" t="s">
        <v>322</v>
      </c>
      <c r="C692" s="133">
        <v>1096772.0</v>
      </c>
      <c r="D692" s="149" t="s">
        <v>397</v>
      </c>
      <c r="E692" s="150" t="s">
        <v>398</v>
      </c>
      <c r="F692" s="151" t="s">
        <v>1090</v>
      </c>
      <c r="G692" s="148"/>
    </row>
    <row r="693" ht="15.75" customHeight="1">
      <c r="A693" s="148"/>
      <c r="B693" s="132" t="s">
        <v>322</v>
      </c>
      <c r="C693" s="133">
        <v>1096773.0</v>
      </c>
      <c r="D693" s="149" t="s">
        <v>397</v>
      </c>
      <c r="E693" s="150" t="s">
        <v>398</v>
      </c>
      <c r="F693" s="151" t="s">
        <v>1091</v>
      </c>
      <c r="G693" s="148"/>
    </row>
    <row r="694" ht="15.75" customHeight="1">
      <c r="A694" s="148"/>
      <c r="B694" s="132" t="s">
        <v>322</v>
      </c>
      <c r="C694" s="133">
        <v>1096774.0</v>
      </c>
      <c r="D694" s="149" t="s">
        <v>397</v>
      </c>
      <c r="E694" s="150" t="s">
        <v>398</v>
      </c>
      <c r="F694" s="151" t="s">
        <v>1092</v>
      </c>
      <c r="G694" s="148"/>
    </row>
    <row r="695" ht="15.75" customHeight="1">
      <c r="A695" s="148"/>
      <c r="B695" s="132" t="s">
        <v>322</v>
      </c>
      <c r="C695" s="133">
        <v>1096775.0</v>
      </c>
      <c r="D695" s="149" t="s">
        <v>397</v>
      </c>
      <c r="E695" s="150" t="s">
        <v>398</v>
      </c>
      <c r="F695" s="151" t="s">
        <v>1093</v>
      </c>
      <c r="G695" s="148"/>
    </row>
    <row r="696" ht="15.75" customHeight="1">
      <c r="A696" s="148"/>
      <c r="B696" s="132" t="s">
        <v>322</v>
      </c>
      <c r="C696" s="133">
        <v>1096776.0</v>
      </c>
      <c r="D696" s="149" t="s">
        <v>397</v>
      </c>
      <c r="E696" s="150" t="s">
        <v>398</v>
      </c>
      <c r="F696" s="151" t="s">
        <v>1094</v>
      </c>
      <c r="G696" s="148"/>
    </row>
    <row r="697" ht="15.75" customHeight="1">
      <c r="A697" s="148"/>
      <c r="B697" s="132" t="s">
        <v>322</v>
      </c>
      <c r="C697" s="133">
        <v>1096777.0</v>
      </c>
      <c r="D697" s="149" t="s">
        <v>397</v>
      </c>
      <c r="E697" s="150" t="s">
        <v>398</v>
      </c>
      <c r="F697" s="151" t="s">
        <v>1095</v>
      </c>
      <c r="G697" s="148"/>
    </row>
    <row r="698" ht="15.75" customHeight="1">
      <c r="A698" s="148"/>
      <c r="B698" s="132" t="s">
        <v>322</v>
      </c>
      <c r="C698" s="133">
        <v>1096778.0</v>
      </c>
      <c r="D698" s="152" t="s">
        <v>543</v>
      </c>
      <c r="E698" s="125" t="s">
        <v>296</v>
      </c>
      <c r="F698" s="151" t="s">
        <v>1096</v>
      </c>
      <c r="G698" s="148"/>
    </row>
    <row r="699" ht="15.75" customHeight="1">
      <c r="A699" s="148"/>
      <c r="B699" s="132" t="s">
        <v>322</v>
      </c>
      <c r="C699" s="133">
        <v>1097078.0</v>
      </c>
      <c r="D699" s="149" t="s">
        <v>397</v>
      </c>
      <c r="E699" s="150" t="s">
        <v>398</v>
      </c>
      <c r="F699" s="151" t="s">
        <v>1097</v>
      </c>
      <c r="G699" s="148"/>
    </row>
    <row r="700" ht="15.75" customHeight="1">
      <c r="A700" s="148"/>
      <c r="B700" s="132" t="s">
        <v>322</v>
      </c>
      <c r="C700" s="133">
        <v>1097079.0</v>
      </c>
      <c r="D700" s="149" t="s">
        <v>397</v>
      </c>
      <c r="E700" s="150" t="s">
        <v>398</v>
      </c>
      <c r="F700" s="151" t="s">
        <v>1098</v>
      </c>
      <c r="G700" s="148"/>
    </row>
    <row r="701" ht="15.75" customHeight="1">
      <c r="A701" s="148"/>
      <c r="B701" s="132" t="s">
        <v>322</v>
      </c>
      <c r="C701" s="133">
        <v>1097080.0</v>
      </c>
      <c r="D701" s="149" t="s">
        <v>397</v>
      </c>
      <c r="E701" s="150" t="s">
        <v>398</v>
      </c>
      <c r="F701" s="151" t="s">
        <v>1099</v>
      </c>
      <c r="G701" s="148"/>
    </row>
    <row r="702" ht="15.75" customHeight="1">
      <c r="A702" s="148"/>
      <c r="B702" s="132" t="s">
        <v>322</v>
      </c>
      <c r="C702" s="133">
        <v>1097081.0</v>
      </c>
      <c r="D702" s="149" t="s">
        <v>397</v>
      </c>
      <c r="E702" s="150" t="s">
        <v>398</v>
      </c>
      <c r="F702" s="151" t="s">
        <v>1100</v>
      </c>
      <c r="G702" s="148"/>
    </row>
    <row r="703" ht="15.75" customHeight="1">
      <c r="A703" s="148"/>
      <c r="B703" s="132" t="s">
        <v>322</v>
      </c>
      <c r="C703" s="133">
        <v>1097082.0</v>
      </c>
      <c r="D703" s="149" t="s">
        <v>397</v>
      </c>
      <c r="E703" s="150" t="s">
        <v>398</v>
      </c>
      <c r="F703" s="151" t="s">
        <v>1101</v>
      </c>
      <c r="G703" s="148"/>
    </row>
    <row r="704" ht="15.75" customHeight="1">
      <c r="A704" s="148"/>
      <c r="B704" s="132" t="s">
        <v>322</v>
      </c>
      <c r="C704" s="133">
        <v>1097083.0</v>
      </c>
      <c r="D704" s="149" t="s">
        <v>397</v>
      </c>
      <c r="E704" s="150" t="s">
        <v>398</v>
      </c>
      <c r="F704" s="151" t="s">
        <v>1102</v>
      </c>
      <c r="G704" s="148"/>
    </row>
    <row r="705" ht="15.75" customHeight="1">
      <c r="A705" s="148"/>
      <c r="B705" s="132" t="s">
        <v>322</v>
      </c>
      <c r="C705" s="133">
        <v>1097084.0</v>
      </c>
      <c r="D705" s="149" t="s">
        <v>397</v>
      </c>
      <c r="E705" s="150" t="s">
        <v>398</v>
      </c>
      <c r="F705" s="151" t="s">
        <v>1103</v>
      </c>
      <c r="G705" s="148"/>
    </row>
    <row r="706" ht="15.75" customHeight="1">
      <c r="A706" s="148"/>
      <c r="B706" s="132" t="s">
        <v>322</v>
      </c>
      <c r="C706" s="133">
        <v>1097085.0</v>
      </c>
      <c r="D706" s="149" t="s">
        <v>397</v>
      </c>
      <c r="E706" s="150" t="s">
        <v>398</v>
      </c>
      <c r="F706" s="151" t="s">
        <v>1104</v>
      </c>
      <c r="G706" s="148"/>
    </row>
    <row r="707" ht="15.75" customHeight="1">
      <c r="A707" s="148"/>
      <c r="B707" s="132" t="s">
        <v>322</v>
      </c>
      <c r="C707" s="133">
        <v>1097086.0</v>
      </c>
      <c r="D707" s="149" t="s">
        <v>397</v>
      </c>
      <c r="E707" s="150" t="s">
        <v>398</v>
      </c>
      <c r="F707" s="151" t="s">
        <v>1105</v>
      </c>
      <c r="G707" s="148"/>
    </row>
    <row r="708" ht="15.75" customHeight="1">
      <c r="A708" s="148"/>
      <c r="B708" s="132" t="s">
        <v>322</v>
      </c>
      <c r="C708" s="133">
        <v>1097087.0</v>
      </c>
      <c r="D708" s="149" t="s">
        <v>397</v>
      </c>
      <c r="E708" s="150" t="s">
        <v>398</v>
      </c>
      <c r="F708" s="151" t="s">
        <v>1106</v>
      </c>
      <c r="G708" s="148"/>
    </row>
    <row r="709" ht="15.75" customHeight="1">
      <c r="A709" s="148"/>
      <c r="B709" s="132" t="s">
        <v>322</v>
      </c>
      <c r="C709" s="133">
        <v>1097088.0</v>
      </c>
      <c r="D709" s="152" t="s">
        <v>543</v>
      </c>
      <c r="E709" s="125" t="s">
        <v>296</v>
      </c>
      <c r="F709" s="151" t="s">
        <v>1107</v>
      </c>
      <c r="G709" s="148"/>
    </row>
    <row r="710" ht="15.75" customHeight="1">
      <c r="A710" s="148"/>
      <c r="B710" s="132" t="s">
        <v>322</v>
      </c>
      <c r="C710" s="133">
        <v>1097089.0</v>
      </c>
      <c r="D710" s="152" t="s">
        <v>543</v>
      </c>
      <c r="E710" s="125" t="s">
        <v>296</v>
      </c>
      <c r="F710" s="151" t="s">
        <v>1108</v>
      </c>
      <c r="G710" s="148"/>
    </row>
    <row r="711" ht="15.75" customHeight="1">
      <c r="A711" s="148"/>
      <c r="B711" s="132" t="s">
        <v>322</v>
      </c>
      <c r="C711" s="133">
        <v>1097090.0</v>
      </c>
      <c r="D711" s="152" t="s">
        <v>543</v>
      </c>
      <c r="E711" s="125" t="s">
        <v>296</v>
      </c>
      <c r="F711" s="151" t="s">
        <v>1109</v>
      </c>
      <c r="G711" s="148"/>
    </row>
    <row r="712" ht="15.75" customHeight="1">
      <c r="A712" s="148"/>
      <c r="B712" s="132" t="s">
        <v>322</v>
      </c>
      <c r="C712" s="133">
        <v>1097091.0</v>
      </c>
      <c r="D712" s="152" t="s">
        <v>543</v>
      </c>
      <c r="E712" s="125" t="s">
        <v>296</v>
      </c>
      <c r="F712" s="151" t="s">
        <v>1110</v>
      </c>
      <c r="G712" s="148"/>
    </row>
    <row r="713" ht="15.75" customHeight="1">
      <c r="A713" s="148"/>
      <c r="B713" s="132" t="s">
        <v>322</v>
      </c>
      <c r="C713" s="133">
        <v>1097092.0</v>
      </c>
      <c r="D713" s="152" t="s">
        <v>543</v>
      </c>
      <c r="E713" s="125" t="s">
        <v>296</v>
      </c>
      <c r="F713" s="151" t="s">
        <v>1111</v>
      </c>
      <c r="G713" s="148"/>
    </row>
    <row r="714" ht="15.75" customHeight="1">
      <c r="A714" s="148"/>
      <c r="B714" s="132" t="s">
        <v>322</v>
      </c>
      <c r="C714" s="133">
        <v>1097093.0</v>
      </c>
      <c r="D714" s="152" t="s">
        <v>543</v>
      </c>
      <c r="E714" s="125" t="s">
        <v>296</v>
      </c>
      <c r="F714" s="151" t="s">
        <v>1112</v>
      </c>
      <c r="G714" s="148"/>
    </row>
    <row r="715" ht="15.75" customHeight="1">
      <c r="A715" s="148"/>
      <c r="B715" s="132" t="s">
        <v>322</v>
      </c>
      <c r="C715" s="133">
        <v>1097094.0</v>
      </c>
      <c r="D715" s="152" t="s">
        <v>543</v>
      </c>
      <c r="E715" s="125" t="s">
        <v>296</v>
      </c>
      <c r="F715" s="151" t="s">
        <v>1113</v>
      </c>
      <c r="G715" s="148"/>
    </row>
    <row r="716" ht="15.75" customHeight="1">
      <c r="A716" s="148"/>
      <c r="B716" s="132" t="s">
        <v>322</v>
      </c>
      <c r="C716" s="133">
        <v>1097095.0</v>
      </c>
      <c r="D716" s="152" t="s">
        <v>543</v>
      </c>
      <c r="E716" s="125" t="s">
        <v>296</v>
      </c>
      <c r="F716" s="151" t="s">
        <v>1114</v>
      </c>
      <c r="G716" s="148"/>
    </row>
    <row r="717" ht="15.75" customHeight="1">
      <c r="A717" s="148"/>
      <c r="B717" s="132" t="s">
        <v>322</v>
      </c>
      <c r="C717" s="133">
        <v>1097096.0</v>
      </c>
      <c r="D717" s="152" t="s">
        <v>543</v>
      </c>
      <c r="E717" s="125" t="s">
        <v>296</v>
      </c>
      <c r="F717" s="151" t="s">
        <v>1115</v>
      </c>
      <c r="G717" s="148"/>
    </row>
    <row r="718" ht="15.75" customHeight="1">
      <c r="A718" s="148"/>
      <c r="B718" s="132" t="s">
        <v>322</v>
      </c>
      <c r="C718" s="133">
        <v>1097097.0</v>
      </c>
      <c r="D718" s="152" t="s">
        <v>543</v>
      </c>
      <c r="E718" s="125" t="s">
        <v>296</v>
      </c>
      <c r="F718" s="151" t="s">
        <v>1116</v>
      </c>
      <c r="G718" s="148"/>
    </row>
    <row r="719" ht="15.75" customHeight="1">
      <c r="A719" s="148"/>
      <c r="B719" s="132" t="s">
        <v>322</v>
      </c>
      <c r="C719" s="133">
        <v>1097098.0</v>
      </c>
      <c r="D719" s="152" t="s">
        <v>543</v>
      </c>
      <c r="E719" s="125" t="s">
        <v>296</v>
      </c>
      <c r="F719" s="151" t="s">
        <v>1117</v>
      </c>
      <c r="G719" s="148"/>
    </row>
    <row r="720" ht="15.75" customHeight="1">
      <c r="A720" s="148"/>
      <c r="B720" s="132" t="s">
        <v>322</v>
      </c>
      <c r="C720" s="133">
        <v>1097099.0</v>
      </c>
      <c r="D720" s="152" t="s">
        <v>543</v>
      </c>
      <c r="E720" s="125" t="s">
        <v>296</v>
      </c>
      <c r="F720" s="151" t="s">
        <v>1118</v>
      </c>
      <c r="G720" s="148"/>
    </row>
    <row r="721" ht="15.75" customHeight="1">
      <c r="A721" s="148"/>
      <c r="B721" s="132" t="s">
        <v>322</v>
      </c>
      <c r="C721" s="133">
        <v>1097100.0</v>
      </c>
      <c r="D721" s="152" t="s">
        <v>543</v>
      </c>
      <c r="E721" s="125" t="s">
        <v>296</v>
      </c>
      <c r="F721" s="151" t="s">
        <v>1119</v>
      </c>
      <c r="G721" s="148"/>
    </row>
    <row r="722" ht="15.75" customHeight="1">
      <c r="A722" s="148"/>
      <c r="B722" s="132" t="s">
        <v>322</v>
      </c>
      <c r="C722" s="133">
        <v>1097101.0</v>
      </c>
      <c r="D722" s="152" t="s">
        <v>543</v>
      </c>
      <c r="E722" s="125" t="s">
        <v>296</v>
      </c>
      <c r="F722" s="151" t="s">
        <v>1120</v>
      </c>
      <c r="G722" s="148"/>
    </row>
    <row r="723" ht="15.75" customHeight="1">
      <c r="A723" s="148"/>
      <c r="B723" s="132" t="s">
        <v>322</v>
      </c>
      <c r="C723" s="133">
        <v>1097401.0</v>
      </c>
      <c r="D723" s="149" t="s">
        <v>397</v>
      </c>
      <c r="E723" s="150" t="s">
        <v>398</v>
      </c>
      <c r="F723" s="151" t="s">
        <v>1121</v>
      </c>
      <c r="G723" s="148"/>
    </row>
    <row r="724" ht="15.75" customHeight="1">
      <c r="A724" s="148"/>
      <c r="B724" s="132" t="s">
        <v>322</v>
      </c>
      <c r="C724" s="133">
        <v>1097402.0</v>
      </c>
      <c r="D724" s="149" t="s">
        <v>397</v>
      </c>
      <c r="E724" s="150" t="s">
        <v>398</v>
      </c>
      <c r="F724" s="151" t="s">
        <v>1122</v>
      </c>
      <c r="G724" s="148"/>
    </row>
    <row r="725" ht="15.75" customHeight="1">
      <c r="A725" s="148"/>
      <c r="B725" s="132" t="s">
        <v>322</v>
      </c>
      <c r="C725" s="133">
        <v>1097403.0</v>
      </c>
      <c r="D725" s="149" t="s">
        <v>397</v>
      </c>
      <c r="E725" s="150" t="s">
        <v>398</v>
      </c>
      <c r="F725" s="151" t="s">
        <v>1123</v>
      </c>
      <c r="G725" s="148"/>
    </row>
    <row r="726" ht="15.75" customHeight="1">
      <c r="A726" s="148"/>
      <c r="B726" s="132" t="s">
        <v>322</v>
      </c>
      <c r="C726" s="133">
        <v>1097404.0</v>
      </c>
      <c r="D726" s="149" t="s">
        <v>397</v>
      </c>
      <c r="E726" s="150" t="s">
        <v>398</v>
      </c>
      <c r="F726" s="151" t="s">
        <v>1124</v>
      </c>
      <c r="G726" s="148"/>
    </row>
    <row r="727" ht="15.75" customHeight="1">
      <c r="A727" s="148"/>
      <c r="B727" s="132" t="s">
        <v>322</v>
      </c>
      <c r="C727" s="133">
        <v>1097736.0</v>
      </c>
      <c r="D727" s="152" t="s">
        <v>543</v>
      </c>
      <c r="E727" s="125" t="s">
        <v>296</v>
      </c>
      <c r="F727" s="151" t="s">
        <v>1125</v>
      </c>
      <c r="G727" s="148"/>
    </row>
    <row r="728" ht="15.75" customHeight="1">
      <c r="A728" s="148"/>
      <c r="B728" s="132" t="s">
        <v>322</v>
      </c>
      <c r="C728" s="133">
        <v>1097737.0</v>
      </c>
      <c r="D728" s="152" t="s">
        <v>543</v>
      </c>
      <c r="E728" s="125" t="s">
        <v>296</v>
      </c>
      <c r="F728" s="151" t="s">
        <v>1126</v>
      </c>
      <c r="G728" s="148"/>
    </row>
    <row r="729" ht="15.75" customHeight="1">
      <c r="A729" s="148"/>
      <c r="B729" s="132" t="s">
        <v>322</v>
      </c>
      <c r="C729" s="133">
        <v>1097738.0</v>
      </c>
      <c r="D729" s="152" t="s">
        <v>543</v>
      </c>
      <c r="E729" s="125" t="s">
        <v>296</v>
      </c>
      <c r="F729" s="151" t="s">
        <v>1127</v>
      </c>
      <c r="G729" s="148"/>
    </row>
    <row r="730" ht="15.75" customHeight="1">
      <c r="A730" s="148"/>
      <c r="B730" s="132" t="s">
        <v>322</v>
      </c>
      <c r="C730" s="133">
        <v>1097739.0</v>
      </c>
      <c r="D730" s="152" t="s">
        <v>543</v>
      </c>
      <c r="E730" s="125" t="s">
        <v>296</v>
      </c>
      <c r="F730" s="151" t="s">
        <v>1128</v>
      </c>
      <c r="G730" s="148"/>
    </row>
    <row r="731" ht="15.75" customHeight="1">
      <c r="A731" s="148"/>
      <c r="B731" s="132" t="s">
        <v>322</v>
      </c>
      <c r="C731" s="133">
        <v>1097740.0</v>
      </c>
      <c r="D731" s="152" t="s">
        <v>543</v>
      </c>
      <c r="E731" s="125" t="s">
        <v>296</v>
      </c>
      <c r="F731" s="151" t="s">
        <v>1129</v>
      </c>
      <c r="G731" s="148"/>
    </row>
    <row r="732" ht="15.75" customHeight="1">
      <c r="A732" s="148"/>
      <c r="B732" s="132" t="s">
        <v>322</v>
      </c>
      <c r="C732" s="133">
        <v>1097741.0</v>
      </c>
      <c r="D732" s="152" t="s">
        <v>543</v>
      </c>
      <c r="E732" s="125" t="s">
        <v>296</v>
      </c>
      <c r="F732" s="151" t="s">
        <v>1130</v>
      </c>
      <c r="G732" s="148"/>
    </row>
    <row r="733" ht="15.75" customHeight="1">
      <c r="A733" s="148"/>
      <c r="B733" s="132" t="s">
        <v>322</v>
      </c>
      <c r="C733" s="133">
        <v>1097742.0</v>
      </c>
      <c r="D733" s="152" t="s">
        <v>543</v>
      </c>
      <c r="E733" s="125" t="s">
        <v>296</v>
      </c>
      <c r="F733" s="151" t="s">
        <v>1131</v>
      </c>
      <c r="G733" s="148"/>
    </row>
    <row r="734" ht="15.75" customHeight="1">
      <c r="A734" s="148"/>
      <c r="B734" s="132" t="s">
        <v>322</v>
      </c>
      <c r="C734" s="133">
        <v>1097743.0</v>
      </c>
      <c r="D734" s="152" t="s">
        <v>543</v>
      </c>
      <c r="E734" s="125" t="s">
        <v>296</v>
      </c>
      <c r="F734" s="151" t="s">
        <v>1132</v>
      </c>
      <c r="G734" s="148"/>
    </row>
    <row r="735" ht="15.75" customHeight="1">
      <c r="A735" s="148"/>
      <c r="B735" s="132" t="s">
        <v>322</v>
      </c>
      <c r="C735" s="133">
        <v>1097744.0</v>
      </c>
      <c r="D735" s="152" t="s">
        <v>543</v>
      </c>
      <c r="E735" s="125" t="s">
        <v>296</v>
      </c>
      <c r="F735" s="151" t="s">
        <v>1133</v>
      </c>
      <c r="G735" s="148"/>
    </row>
    <row r="736" ht="15.75" customHeight="1">
      <c r="A736" s="148"/>
      <c r="B736" s="132" t="s">
        <v>322</v>
      </c>
      <c r="C736" s="133">
        <v>1097745.0</v>
      </c>
      <c r="D736" s="152" t="s">
        <v>543</v>
      </c>
      <c r="E736" s="125" t="s">
        <v>296</v>
      </c>
      <c r="F736" s="151" t="s">
        <v>1134</v>
      </c>
      <c r="G736" s="148"/>
    </row>
    <row r="737" ht="15.75" customHeight="1">
      <c r="A737" s="148"/>
      <c r="B737" s="132" t="s">
        <v>322</v>
      </c>
      <c r="C737" s="133">
        <v>1097746.0</v>
      </c>
      <c r="D737" s="152" t="s">
        <v>543</v>
      </c>
      <c r="E737" s="125" t="s">
        <v>296</v>
      </c>
      <c r="F737" s="151" t="s">
        <v>1135</v>
      </c>
      <c r="G737" s="148"/>
    </row>
    <row r="738" ht="15.75" customHeight="1">
      <c r="A738" s="148"/>
      <c r="B738" s="132" t="s">
        <v>322</v>
      </c>
      <c r="C738" s="133">
        <v>1097747.0</v>
      </c>
      <c r="D738" s="152" t="s">
        <v>543</v>
      </c>
      <c r="E738" s="125" t="s">
        <v>296</v>
      </c>
      <c r="F738" s="151" t="s">
        <v>1136</v>
      </c>
      <c r="G738" s="148"/>
    </row>
    <row r="739" ht="15.75" customHeight="1">
      <c r="A739" s="148"/>
      <c r="B739" s="132" t="s">
        <v>322</v>
      </c>
      <c r="C739" s="133">
        <v>1097748.0</v>
      </c>
      <c r="D739" s="152" t="s">
        <v>543</v>
      </c>
      <c r="E739" s="125" t="s">
        <v>296</v>
      </c>
      <c r="F739" s="151" t="s">
        <v>1137</v>
      </c>
      <c r="G739" s="148"/>
    </row>
    <row r="740" ht="15.75" customHeight="1">
      <c r="A740" s="148"/>
      <c r="B740" s="132" t="s">
        <v>322</v>
      </c>
      <c r="C740" s="133">
        <v>1097749.0</v>
      </c>
      <c r="D740" s="152" t="s">
        <v>543</v>
      </c>
      <c r="E740" s="125" t="s">
        <v>296</v>
      </c>
      <c r="F740" s="151" t="s">
        <v>1138</v>
      </c>
      <c r="G740" s="148"/>
    </row>
    <row r="741" ht="15.75" customHeight="1">
      <c r="A741" s="148"/>
      <c r="B741" s="132" t="s">
        <v>322</v>
      </c>
      <c r="C741" s="133">
        <v>1097750.0</v>
      </c>
      <c r="D741" s="152" t="s">
        <v>543</v>
      </c>
      <c r="E741" s="125" t="s">
        <v>296</v>
      </c>
      <c r="F741" s="151" t="s">
        <v>1139</v>
      </c>
      <c r="G741" s="148"/>
    </row>
    <row r="742" ht="15.75" customHeight="1">
      <c r="A742" s="148"/>
      <c r="B742" s="132" t="s">
        <v>322</v>
      </c>
      <c r="C742" s="133">
        <v>1097751.0</v>
      </c>
      <c r="D742" s="152" t="s">
        <v>543</v>
      </c>
      <c r="E742" s="125" t="s">
        <v>296</v>
      </c>
      <c r="F742" s="151" t="s">
        <v>1140</v>
      </c>
      <c r="G742" s="148"/>
    </row>
    <row r="743" ht="15.75" customHeight="1">
      <c r="A743" s="148"/>
      <c r="B743" s="132" t="s">
        <v>322</v>
      </c>
      <c r="C743" s="133">
        <v>1097752.0</v>
      </c>
      <c r="D743" s="152" t="s">
        <v>543</v>
      </c>
      <c r="E743" s="125" t="s">
        <v>296</v>
      </c>
      <c r="F743" s="151" t="s">
        <v>1141</v>
      </c>
      <c r="G743" s="148"/>
    </row>
    <row r="744" ht="15.75" customHeight="1">
      <c r="A744" s="148"/>
      <c r="B744" s="132" t="s">
        <v>322</v>
      </c>
      <c r="C744" s="133">
        <v>1140873.0</v>
      </c>
      <c r="D744" s="149" t="s">
        <v>397</v>
      </c>
      <c r="E744" s="150" t="s">
        <v>398</v>
      </c>
      <c r="F744" s="151" t="s">
        <v>1142</v>
      </c>
      <c r="G744" s="148"/>
    </row>
    <row r="745" ht="15.75" customHeight="1">
      <c r="A745" s="148"/>
      <c r="B745" s="132" t="s">
        <v>322</v>
      </c>
      <c r="C745" s="133">
        <v>1140874.0</v>
      </c>
      <c r="D745" s="149" t="s">
        <v>397</v>
      </c>
      <c r="E745" s="150" t="s">
        <v>398</v>
      </c>
      <c r="F745" s="151" t="s">
        <v>1143</v>
      </c>
      <c r="G745" s="148"/>
    </row>
    <row r="746" ht="15.75" customHeight="1">
      <c r="A746" s="148"/>
      <c r="B746" s="132" t="s">
        <v>322</v>
      </c>
      <c r="C746" s="133">
        <v>1140875.0</v>
      </c>
      <c r="D746" s="149" t="s">
        <v>397</v>
      </c>
      <c r="E746" s="150" t="s">
        <v>398</v>
      </c>
      <c r="F746" s="151" t="s">
        <v>1144</v>
      </c>
      <c r="G746" s="148"/>
    </row>
    <row r="747" ht="15.75" customHeight="1">
      <c r="A747" s="148"/>
      <c r="B747" s="132" t="s">
        <v>322</v>
      </c>
      <c r="C747" s="133">
        <v>1140876.0</v>
      </c>
      <c r="D747" s="149" t="s">
        <v>397</v>
      </c>
      <c r="E747" s="150" t="s">
        <v>398</v>
      </c>
      <c r="F747" s="151" t="s">
        <v>1145</v>
      </c>
      <c r="G747" s="148"/>
    </row>
    <row r="748" ht="15.75" customHeight="1">
      <c r="A748" s="148"/>
      <c r="B748" s="132" t="s">
        <v>322</v>
      </c>
      <c r="C748" s="133">
        <v>1140877.0</v>
      </c>
      <c r="D748" s="149" t="s">
        <v>397</v>
      </c>
      <c r="E748" s="150" t="s">
        <v>398</v>
      </c>
      <c r="F748" s="151" t="s">
        <v>1146</v>
      </c>
      <c r="G748" s="148"/>
    </row>
    <row r="749" ht="15.75" customHeight="1">
      <c r="A749" s="148"/>
      <c r="B749" s="132" t="s">
        <v>322</v>
      </c>
      <c r="C749" s="133">
        <v>1140878.0</v>
      </c>
      <c r="D749" s="149" t="s">
        <v>397</v>
      </c>
      <c r="E749" s="150" t="s">
        <v>398</v>
      </c>
      <c r="F749" s="151" t="s">
        <v>1147</v>
      </c>
      <c r="G749" s="148"/>
    </row>
    <row r="750" ht="15.75" customHeight="1">
      <c r="A750" s="148"/>
      <c r="B750" s="132" t="s">
        <v>322</v>
      </c>
      <c r="C750" s="133">
        <v>1140879.0</v>
      </c>
      <c r="D750" s="149" t="s">
        <v>397</v>
      </c>
      <c r="E750" s="150" t="s">
        <v>398</v>
      </c>
      <c r="F750" s="151" t="s">
        <v>1148</v>
      </c>
      <c r="G750" s="148"/>
    </row>
    <row r="751" ht="15.75" customHeight="1">
      <c r="A751" s="148"/>
      <c r="B751" s="132" t="s">
        <v>322</v>
      </c>
      <c r="C751" s="133">
        <v>1140880.0</v>
      </c>
      <c r="D751" s="149" t="s">
        <v>397</v>
      </c>
      <c r="E751" s="150" t="s">
        <v>398</v>
      </c>
      <c r="F751" s="151" t="s">
        <v>1149</v>
      </c>
      <c r="G751" s="148"/>
    </row>
    <row r="752" ht="15.75" customHeight="1">
      <c r="A752" s="148"/>
      <c r="B752" s="132" t="s">
        <v>322</v>
      </c>
      <c r="C752" s="133">
        <v>1140884.0</v>
      </c>
      <c r="D752" s="149" t="s">
        <v>397</v>
      </c>
      <c r="E752" s="150" t="s">
        <v>398</v>
      </c>
      <c r="F752" s="151" t="s">
        <v>1150</v>
      </c>
      <c r="G752" s="148"/>
    </row>
    <row r="753" ht="15.75" customHeight="1">
      <c r="A753" s="148"/>
      <c r="B753" s="132" t="s">
        <v>322</v>
      </c>
      <c r="C753" s="133">
        <v>1140908.0</v>
      </c>
      <c r="D753" s="149" t="s">
        <v>397</v>
      </c>
      <c r="E753" s="150" t="s">
        <v>398</v>
      </c>
      <c r="F753" s="151" t="s">
        <v>1151</v>
      </c>
      <c r="G753" s="148"/>
    </row>
    <row r="754" ht="15.75" customHeight="1">
      <c r="A754" s="148"/>
      <c r="B754" s="132" t="s">
        <v>322</v>
      </c>
      <c r="C754" s="133">
        <v>1140909.0</v>
      </c>
      <c r="D754" s="149" t="s">
        <v>397</v>
      </c>
      <c r="E754" s="150" t="s">
        <v>398</v>
      </c>
      <c r="F754" s="151" t="s">
        <v>1152</v>
      </c>
      <c r="G754" s="148"/>
    </row>
    <row r="755" ht="15.75" customHeight="1">
      <c r="A755" s="148"/>
      <c r="B755" s="132" t="s">
        <v>322</v>
      </c>
      <c r="C755" s="133">
        <v>1140910.0</v>
      </c>
      <c r="D755" s="149" t="s">
        <v>397</v>
      </c>
      <c r="E755" s="150" t="s">
        <v>398</v>
      </c>
      <c r="F755" s="151" t="s">
        <v>1153</v>
      </c>
      <c r="G755" s="148"/>
    </row>
    <row r="756" ht="15.75" customHeight="1">
      <c r="A756" s="148"/>
      <c r="B756" s="132" t="s">
        <v>322</v>
      </c>
      <c r="C756" s="133">
        <v>1140911.0</v>
      </c>
      <c r="D756" s="149" t="s">
        <v>397</v>
      </c>
      <c r="E756" s="150" t="s">
        <v>398</v>
      </c>
      <c r="F756" s="151" t="s">
        <v>1154</v>
      </c>
      <c r="G756" s="148"/>
    </row>
    <row r="757" ht="15.75" customHeight="1">
      <c r="A757" s="148"/>
      <c r="B757" s="132" t="s">
        <v>322</v>
      </c>
      <c r="C757" s="133">
        <v>1140912.0</v>
      </c>
      <c r="D757" s="149" t="s">
        <v>397</v>
      </c>
      <c r="E757" s="150" t="s">
        <v>398</v>
      </c>
      <c r="F757" s="151" t="s">
        <v>1155</v>
      </c>
      <c r="G757" s="148"/>
    </row>
    <row r="758" ht="15.75" customHeight="1">
      <c r="A758" s="148"/>
      <c r="B758" s="132" t="s">
        <v>322</v>
      </c>
      <c r="C758" s="133">
        <v>1141278.0</v>
      </c>
      <c r="D758" s="149" t="s">
        <v>397</v>
      </c>
      <c r="E758" s="150" t="s">
        <v>398</v>
      </c>
      <c r="F758" s="151" t="s">
        <v>1156</v>
      </c>
      <c r="G758" s="148"/>
    </row>
    <row r="759" ht="15.75" customHeight="1">
      <c r="A759" s="148"/>
      <c r="B759" s="132" t="s">
        <v>322</v>
      </c>
      <c r="C759" s="133">
        <v>1141399.0</v>
      </c>
      <c r="D759" s="149" t="s">
        <v>397</v>
      </c>
      <c r="E759" s="150" t="s">
        <v>398</v>
      </c>
      <c r="F759" s="151" t="s">
        <v>1157</v>
      </c>
      <c r="G759" s="148"/>
    </row>
    <row r="760" ht="15.75" customHeight="1">
      <c r="A760" s="148"/>
      <c r="B760" s="132" t="s">
        <v>322</v>
      </c>
      <c r="C760" s="133">
        <v>1141406.0</v>
      </c>
      <c r="D760" s="149" t="s">
        <v>397</v>
      </c>
      <c r="E760" s="150" t="s">
        <v>398</v>
      </c>
      <c r="F760" s="151" t="s">
        <v>1158</v>
      </c>
      <c r="G760" s="148"/>
    </row>
    <row r="761" ht="15.75" customHeight="1">
      <c r="A761" s="148"/>
      <c r="B761" s="132" t="s">
        <v>322</v>
      </c>
      <c r="C761" s="133">
        <v>1141407.0</v>
      </c>
      <c r="D761" s="149" t="s">
        <v>397</v>
      </c>
      <c r="E761" s="150" t="s">
        <v>398</v>
      </c>
      <c r="F761" s="151" t="s">
        <v>1159</v>
      </c>
      <c r="G761" s="148"/>
    </row>
    <row r="762" ht="15.75" customHeight="1">
      <c r="A762" s="148"/>
      <c r="B762" s="132" t="s">
        <v>322</v>
      </c>
      <c r="C762" s="133">
        <v>1141408.0</v>
      </c>
      <c r="D762" s="149" t="s">
        <v>397</v>
      </c>
      <c r="E762" s="150" t="s">
        <v>398</v>
      </c>
      <c r="F762" s="151" t="s">
        <v>1160</v>
      </c>
      <c r="G762" s="148"/>
    </row>
    <row r="763" ht="15.75" customHeight="1">
      <c r="A763" s="148"/>
      <c r="B763" s="132" t="s">
        <v>322</v>
      </c>
      <c r="C763" s="133">
        <v>1141412.0</v>
      </c>
      <c r="D763" s="149" t="s">
        <v>397</v>
      </c>
      <c r="E763" s="150" t="s">
        <v>398</v>
      </c>
      <c r="F763" s="151" t="s">
        <v>1161</v>
      </c>
      <c r="G763" s="148"/>
    </row>
    <row r="764" ht="15.75" customHeight="1">
      <c r="A764" s="148"/>
      <c r="B764" s="132" t="s">
        <v>322</v>
      </c>
      <c r="C764" s="133">
        <v>1141414.0</v>
      </c>
      <c r="D764" s="152" t="s">
        <v>543</v>
      </c>
      <c r="E764" s="125" t="s">
        <v>296</v>
      </c>
      <c r="F764" s="151" t="s">
        <v>1162</v>
      </c>
      <c r="G764" s="148"/>
    </row>
    <row r="765" ht="15.75" customHeight="1">
      <c r="A765" s="148"/>
      <c r="B765" s="132" t="s">
        <v>322</v>
      </c>
      <c r="C765" s="133">
        <v>1141415.0</v>
      </c>
      <c r="D765" s="152" t="s">
        <v>543</v>
      </c>
      <c r="E765" s="125" t="s">
        <v>296</v>
      </c>
      <c r="F765" s="151" t="s">
        <v>1163</v>
      </c>
      <c r="G765" s="148"/>
    </row>
    <row r="766" ht="15.75" customHeight="1">
      <c r="A766" s="148"/>
      <c r="B766" s="132" t="s">
        <v>322</v>
      </c>
      <c r="C766" s="133">
        <v>1141417.0</v>
      </c>
      <c r="D766" s="149" t="s">
        <v>397</v>
      </c>
      <c r="E766" s="150" t="s">
        <v>398</v>
      </c>
      <c r="F766" s="151" t="s">
        <v>1164</v>
      </c>
      <c r="G766" s="148"/>
    </row>
    <row r="767" ht="15.75" customHeight="1">
      <c r="A767" s="148"/>
      <c r="B767" s="132" t="s">
        <v>322</v>
      </c>
      <c r="C767" s="133">
        <v>1162171.0</v>
      </c>
      <c r="D767" s="152" t="s">
        <v>543</v>
      </c>
      <c r="E767" s="125" t="s">
        <v>296</v>
      </c>
      <c r="F767" s="151" t="s">
        <v>1165</v>
      </c>
      <c r="G767" s="148"/>
    </row>
    <row r="768" ht="15.75" customHeight="1">
      <c r="A768" s="148"/>
      <c r="B768" s="132" t="s">
        <v>322</v>
      </c>
      <c r="C768" s="133">
        <v>1162172.0</v>
      </c>
      <c r="D768" s="152" t="s">
        <v>543</v>
      </c>
      <c r="E768" s="125" t="s">
        <v>296</v>
      </c>
      <c r="F768" s="151" t="s">
        <v>1166</v>
      </c>
      <c r="G768" s="148"/>
    </row>
    <row r="769" ht="15.75" customHeight="1">
      <c r="A769" s="148"/>
      <c r="B769" s="132" t="s">
        <v>322</v>
      </c>
      <c r="C769" s="133">
        <v>1427124.0</v>
      </c>
      <c r="D769" s="152" t="s">
        <v>543</v>
      </c>
      <c r="E769" s="125" t="s">
        <v>296</v>
      </c>
      <c r="F769" s="151" t="s">
        <v>1167</v>
      </c>
      <c r="G769" s="148"/>
    </row>
    <row r="770" ht="15.75" customHeight="1">
      <c r="A770" s="148"/>
      <c r="B770" s="132" t="s">
        <v>322</v>
      </c>
      <c r="C770" s="133">
        <v>1427125.0</v>
      </c>
      <c r="D770" s="152" t="s">
        <v>543</v>
      </c>
      <c r="E770" s="125" t="s">
        <v>296</v>
      </c>
      <c r="F770" s="151" t="s">
        <v>1167</v>
      </c>
      <c r="G770" s="148"/>
    </row>
    <row r="771" ht="15.75" customHeight="1">
      <c r="A771" s="148"/>
      <c r="B771" s="132" t="s">
        <v>322</v>
      </c>
      <c r="C771" s="133">
        <v>1427126.0</v>
      </c>
      <c r="D771" s="152" t="s">
        <v>543</v>
      </c>
      <c r="E771" s="125" t="s">
        <v>296</v>
      </c>
      <c r="F771" s="151" t="s">
        <v>1167</v>
      </c>
      <c r="G771" s="148"/>
    </row>
    <row r="772" ht="15.75" customHeight="1">
      <c r="A772" s="148"/>
      <c r="B772" s="132" t="s">
        <v>322</v>
      </c>
      <c r="C772" s="133">
        <v>1427127.0</v>
      </c>
      <c r="D772" s="152" t="s">
        <v>543</v>
      </c>
      <c r="E772" s="125" t="s">
        <v>296</v>
      </c>
      <c r="F772" s="151" t="s">
        <v>1167</v>
      </c>
      <c r="G772" s="148"/>
    </row>
    <row r="773" ht="15.75" customHeight="1">
      <c r="A773" s="148"/>
      <c r="B773" s="132" t="s">
        <v>322</v>
      </c>
      <c r="C773" s="133">
        <v>1427128.0</v>
      </c>
      <c r="D773" s="152" t="s">
        <v>543</v>
      </c>
      <c r="E773" s="125" t="s">
        <v>296</v>
      </c>
      <c r="F773" s="151" t="s">
        <v>1167</v>
      </c>
      <c r="G773" s="148"/>
    </row>
    <row r="774" ht="15.75" customHeight="1">
      <c r="A774" s="148"/>
      <c r="B774" s="132" t="s">
        <v>322</v>
      </c>
      <c r="C774" s="133">
        <v>1427129.0</v>
      </c>
      <c r="D774" s="152" t="s">
        <v>543</v>
      </c>
      <c r="E774" s="125" t="s">
        <v>296</v>
      </c>
      <c r="F774" s="151" t="s">
        <v>1167</v>
      </c>
      <c r="G774" s="148"/>
    </row>
    <row r="775" ht="15.75" customHeight="1">
      <c r="A775" s="148"/>
      <c r="B775" s="132" t="s">
        <v>322</v>
      </c>
      <c r="C775" s="133">
        <v>1427130.0</v>
      </c>
      <c r="D775" s="152" t="s">
        <v>543</v>
      </c>
      <c r="E775" s="125" t="s">
        <v>296</v>
      </c>
      <c r="F775" s="151" t="s">
        <v>1167</v>
      </c>
      <c r="G775" s="148"/>
    </row>
    <row r="776" ht="15.75" customHeight="1">
      <c r="A776" s="148"/>
      <c r="B776" s="132" t="s">
        <v>322</v>
      </c>
      <c r="C776" s="133">
        <v>1427131.0</v>
      </c>
      <c r="D776" s="152" t="s">
        <v>543</v>
      </c>
      <c r="E776" s="125" t="s">
        <v>296</v>
      </c>
      <c r="F776" s="151" t="s">
        <v>1167</v>
      </c>
      <c r="G776" s="148"/>
    </row>
    <row r="777" ht="15.75" customHeight="1">
      <c r="A777" s="148"/>
      <c r="B777" s="132" t="s">
        <v>322</v>
      </c>
      <c r="C777" s="133">
        <v>1427132.0</v>
      </c>
      <c r="D777" s="152" t="s">
        <v>543</v>
      </c>
      <c r="E777" s="125" t="s">
        <v>296</v>
      </c>
      <c r="F777" s="151" t="s">
        <v>1167</v>
      </c>
      <c r="G777" s="148"/>
    </row>
    <row r="778" ht="15.75" customHeight="1">
      <c r="A778" s="148"/>
      <c r="B778" s="132" t="s">
        <v>322</v>
      </c>
      <c r="C778" s="133">
        <v>1427133.0</v>
      </c>
      <c r="D778" s="152" t="s">
        <v>543</v>
      </c>
      <c r="E778" s="125" t="s">
        <v>296</v>
      </c>
      <c r="F778" s="151" t="s">
        <v>1167</v>
      </c>
      <c r="G778" s="148"/>
    </row>
    <row r="779" ht="15.75" customHeight="1">
      <c r="A779" s="148"/>
      <c r="B779" s="132" t="s">
        <v>322</v>
      </c>
      <c r="C779" s="133">
        <v>1427134.0</v>
      </c>
      <c r="D779" s="152" t="s">
        <v>543</v>
      </c>
      <c r="E779" s="125" t="s">
        <v>296</v>
      </c>
      <c r="F779" s="151" t="s">
        <v>1167</v>
      </c>
      <c r="G779" s="148"/>
    </row>
    <row r="780" ht="15.75" customHeight="1">
      <c r="A780" s="148"/>
      <c r="B780" s="132" t="s">
        <v>322</v>
      </c>
      <c r="C780" s="133">
        <v>1427135.0</v>
      </c>
      <c r="D780" s="152" t="s">
        <v>543</v>
      </c>
      <c r="E780" s="125" t="s">
        <v>296</v>
      </c>
      <c r="F780" s="151" t="s">
        <v>1167</v>
      </c>
      <c r="G780" s="148"/>
    </row>
    <row r="781" ht="15.75" customHeight="1">
      <c r="A781" s="148"/>
      <c r="B781" s="132" t="s">
        <v>322</v>
      </c>
      <c r="C781" s="133">
        <v>1427136.0</v>
      </c>
      <c r="D781" s="152" t="s">
        <v>543</v>
      </c>
      <c r="E781" s="125" t="s">
        <v>296</v>
      </c>
      <c r="F781" s="151" t="s">
        <v>1167</v>
      </c>
      <c r="G781" s="148"/>
    </row>
    <row r="782" ht="15.75" customHeight="1">
      <c r="A782" s="148"/>
      <c r="B782" s="132" t="s">
        <v>322</v>
      </c>
      <c r="C782" s="133">
        <v>1427137.0</v>
      </c>
      <c r="D782" s="152" t="s">
        <v>543</v>
      </c>
      <c r="E782" s="125" t="s">
        <v>296</v>
      </c>
      <c r="F782" s="151" t="s">
        <v>1167</v>
      </c>
      <c r="G782" s="148"/>
    </row>
    <row r="783" ht="15.75" customHeight="1">
      <c r="A783" s="148"/>
      <c r="B783" s="132" t="s">
        <v>322</v>
      </c>
      <c r="C783" s="133">
        <v>1427138.0</v>
      </c>
      <c r="D783" s="152" t="s">
        <v>543</v>
      </c>
      <c r="E783" s="125" t="s">
        <v>296</v>
      </c>
      <c r="F783" s="151" t="s">
        <v>1167</v>
      </c>
      <c r="G783" s="148"/>
    </row>
    <row r="784" ht="15.75" customHeight="1">
      <c r="A784" s="148"/>
      <c r="B784" s="132" t="s">
        <v>322</v>
      </c>
      <c r="C784" s="133">
        <v>1427139.0</v>
      </c>
      <c r="D784" s="152" t="s">
        <v>543</v>
      </c>
      <c r="E784" s="125" t="s">
        <v>296</v>
      </c>
      <c r="F784" s="151" t="s">
        <v>1167</v>
      </c>
      <c r="G784" s="148"/>
    </row>
    <row r="785" ht="15.75" customHeight="1">
      <c r="A785" s="148"/>
      <c r="B785" s="132" t="s">
        <v>322</v>
      </c>
      <c r="C785" s="133">
        <v>1427140.0</v>
      </c>
      <c r="D785" s="152" t="s">
        <v>543</v>
      </c>
      <c r="E785" s="125" t="s">
        <v>296</v>
      </c>
      <c r="F785" s="151" t="s">
        <v>1167</v>
      </c>
      <c r="G785" s="148"/>
    </row>
    <row r="786" ht="15.75" customHeight="1">
      <c r="A786" s="148"/>
      <c r="B786" s="132" t="s">
        <v>322</v>
      </c>
      <c r="C786" s="133">
        <v>1427141.0</v>
      </c>
      <c r="D786" s="152" t="s">
        <v>543</v>
      </c>
      <c r="E786" s="125" t="s">
        <v>296</v>
      </c>
      <c r="F786" s="151" t="s">
        <v>1167</v>
      </c>
      <c r="G786" s="148"/>
    </row>
    <row r="787" ht="15.75" customHeight="1">
      <c r="A787" s="148"/>
      <c r="B787" s="132" t="s">
        <v>322</v>
      </c>
      <c r="C787" s="133">
        <v>1427143.0</v>
      </c>
      <c r="D787" s="149" t="s">
        <v>397</v>
      </c>
      <c r="E787" s="150" t="s">
        <v>398</v>
      </c>
      <c r="F787" s="151" t="s">
        <v>1168</v>
      </c>
      <c r="G787" s="148"/>
    </row>
    <row r="788" ht="15.75" customHeight="1">
      <c r="A788" s="148"/>
      <c r="B788" s="132" t="s">
        <v>322</v>
      </c>
      <c r="C788" s="133">
        <v>1427144.0</v>
      </c>
      <c r="D788" s="149" t="s">
        <v>397</v>
      </c>
      <c r="E788" s="150" t="s">
        <v>398</v>
      </c>
      <c r="F788" s="151" t="s">
        <v>1168</v>
      </c>
      <c r="G788" s="148"/>
    </row>
    <row r="789" ht="15.75" customHeight="1">
      <c r="A789" s="148"/>
      <c r="B789" s="132" t="s">
        <v>322</v>
      </c>
      <c r="C789" s="133">
        <v>1427145.0</v>
      </c>
      <c r="D789" s="149" t="s">
        <v>397</v>
      </c>
      <c r="E789" s="150" t="s">
        <v>398</v>
      </c>
      <c r="F789" s="151" t="s">
        <v>1168</v>
      </c>
      <c r="G789" s="148"/>
    </row>
    <row r="790" ht="15.75" customHeight="1">
      <c r="A790" s="148"/>
      <c r="B790" s="132" t="s">
        <v>322</v>
      </c>
      <c r="C790" s="133">
        <v>1427146.0</v>
      </c>
      <c r="D790" s="149" t="s">
        <v>397</v>
      </c>
      <c r="E790" s="150" t="s">
        <v>398</v>
      </c>
      <c r="F790" s="151" t="s">
        <v>1168</v>
      </c>
      <c r="G790" s="148"/>
    </row>
    <row r="791" ht="15.75" customHeight="1">
      <c r="A791" s="148"/>
      <c r="B791" s="132" t="s">
        <v>322</v>
      </c>
      <c r="C791" s="133">
        <v>1427147.0</v>
      </c>
      <c r="D791" s="149" t="s">
        <v>397</v>
      </c>
      <c r="E791" s="150" t="s">
        <v>398</v>
      </c>
      <c r="F791" s="151" t="s">
        <v>1168</v>
      </c>
      <c r="G791" s="148"/>
    </row>
    <row r="792" ht="15.75" customHeight="1">
      <c r="A792" s="148"/>
      <c r="B792" s="132" t="s">
        <v>322</v>
      </c>
      <c r="C792" s="133">
        <v>1427148.0</v>
      </c>
      <c r="D792" s="149" t="s">
        <v>397</v>
      </c>
      <c r="E792" s="150" t="s">
        <v>398</v>
      </c>
      <c r="F792" s="151" t="s">
        <v>1168</v>
      </c>
      <c r="G792" s="148"/>
    </row>
    <row r="793" ht="15.75" customHeight="1">
      <c r="A793" s="148"/>
      <c r="B793" s="132" t="s">
        <v>322</v>
      </c>
      <c r="C793" s="133">
        <v>1427149.0</v>
      </c>
      <c r="D793" s="149" t="s">
        <v>397</v>
      </c>
      <c r="E793" s="150" t="s">
        <v>398</v>
      </c>
      <c r="F793" s="151" t="s">
        <v>1168</v>
      </c>
      <c r="G793" s="148"/>
    </row>
    <row r="794" ht="15.75" customHeight="1">
      <c r="A794" s="148"/>
      <c r="B794" s="132" t="s">
        <v>322</v>
      </c>
      <c r="C794" s="133">
        <v>1427150.0</v>
      </c>
      <c r="D794" s="149" t="s">
        <v>397</v>
      </c>
      <c r="E794" s="150" t="s">
        <v>398</v>
      </c>
      <c r="F794" s="151" t="s">
        <v>1168</v>
      </c>
      <c r="G794" s="148"/>
    </row>
    <row r="795" ht="15.75" customHeight="1">
      <c r="A795" s="148"/>
      <c r="B795" s="132" t="s">
        <v>322</v>
      </c>
      <c r="C795" s="133">
        <v>1427151.0</v>
      </c>
      <c r="D795" s="149" t="s">
        <v>397</v>
      </c>
      <c r="E795" s="150" t="s">
        <v>398</v>
      </c>
      <c r="F795" s="151" t="s">
        <v>1168</v>
      </c>
      <c r="G795" s="148"/>
    </row>
    <row r="796" ht="15.75" customHeight="1">
      <c r="A796" s="148"/>
      <c r="B796" s="132" t="s">
        <v>322</v>
      </c>
      <c r="C796" s="133">
        <v>1427152.0</v>
      </c>
      <c r="D796" s="149" t="s">
        <v>397</v>
      </c>
      <c r="E796" s="150" t="s">
        <v>398</v>
      </c>
      <c r="F796" s="151" t="s">
        <v>1168</v>
      </c>
      <c r="G796" s="148"/>
    </row>
    <row r="797" ht="15.75" customHeight="1">
      <c r="A797" s="148"/>
      <c r="B797" s="132" t="s">
        <v>322</v>
      </c>
      <c r="C797" s="133">
        <v>1427153.0</v>
      </c>
      <c r="D797" s="149" t="s">
        <v>397</v>
      </c>
      <c r="E797" s="150" t="s">
        <v>398</v>
      </c>
      <c r="F797" s="151" t="s">
        <v>1168</v>
      </c>
      <c r="G797" s="148"/>
    </row>
    <row r="798" ht="15.75" customHeight="1">
      <c r="A798" s="148"/>
      <c r="B798" s="132" t="s">
        <v>322</v>
      </c>
      <c r="C798" s="133">
        <v>1427154.0</v>
      </c>
      <c r="D798" s="149" t="s">
        <v>397</v>
      </c>
      <c r="E798" s="150" t="s">
        <v>398</v>
      </c>
      <c r="F798" s="151" t="s">
        <v>1168</v>
      </c>
      <c r="G798" s="148"/>
    </row>
    <row r="799" ht="15.75" customHeight="1">
      <c r="A799" s="148"/>
      <c r="B799" s="132" t="s">
        <v>322</v>
      </c>
      <c r="C799" s="133">
        <v>1427155.0</v>
      </c>
      <c r="D799" s="149" t="s">
        <v>397</v>
      </c>
      <c r="E799" s="150" t="s">
        <v>398</v>
      </c>
      <c r="F799" s="151" t="s">
        <v>1168</v>
      </c>
      <c r="G799" s="148"/>
    </row>
    <row r="800" ht="15.75" customHeight="1">
      <c r="A800" s="148"/>
      <c r="B800" s="132" t="s">
        <v>322</v>
      </c>
      <c r="C800" s="133">
        <v>1427156.0</v>
      </c>
      <c r="D800" s="149" t="s">
        <v>397</v>
      </c>
      <c r="E800" s="150" t="s">
        <v>398</v>
      </c>
      <c r="F800" s="151" t="s">
        <v>1168</v>
      </c>
      <c r="G800" s="148"/>
    </row>
    <row r="801" ht="15.75" customHeight="1">
      <c r="A801" s="148"/>
      <c r="B801" s="132" t="s">
        <v>322</v>
      </c>
      <c r="C801" s="133">
        <v>1427157.0</v>
      </c>
      <c r="D801" s="149" t="s">
        <v>397</v>
      </c>
      <c r="E801" s="150" t="s">
        <v>398</v>
      </c>
      <c r="F801" s="151" t="s">
        <v>1168</v>
      </c>
      <c r="G801" s="148"/>
    </row>
    <row r="802" ht="15.75" customHeight="1">
      <c r="A802" s="148"/>
      <c r="B802" s="132" t="s">
        <v>322</v>
      </c>
      <c r="C802" s="133">
        <v>1427158.0</v>
      </c>
      <c r="D802" s="149" t="s">
        <v>397</v>
      </c>
      <c r="E802" s="150" t="s">
        <v>398</v>
      </c>
      <c r="F802" s="151" t="s">
        <v>1169</v>
      </c>
      <c r="G802" s="148"/>
    </row>
    <row r="803" ht="15.75" customHeight="1">
      <c r="A803" s="148"/>
      <c r="B803" s="132" t="s">
        <v>322</v>
      </c>
      <c r="C803" s="133">
        <v>1427159.0</v>
      </c>
      <c r="D803" s="149" t="s">
        <v>397</v>
      </c>
      <c r="E803" s="150" t="s">
        <v>398</v>
      </c>
      <c r="F803" s="151" t="s">
        <v>1169</v>
      </c>
      <c r="G803" s="148"/>
    </row>
    <row r="804" ht="15.75" customHeight="1">
      <c r="A804" s="148"/>
      <c r="B804" s="132" t="s">
        <v>322</v>
      </c>
      <c r="C804" s="133">
        <v>1446755.0</v>
      </c>
      <c r="D804" s="149" t="s">
        <v>397</v>
      </c>
      <c r="E804" s="150" t="s">
        <v>398</v>
      </c>
      <c r="F804" s="151" t="s">
        <v>1170</v>
      </c>
      <c r="G804" s="148"/>
    </row>
    <row r="805" ht="15.75" customHeight="1">
      <c r="A805" s="148"/>
      <c r="B805" s="132" t="s">
        <v>322</v>
      </c>
      <c r="C805" s="133">
        <v>1446756.0</v>
      </c>
      <c r="D805" s="149" t="s">
        <v>397</v>
      </c>
      <c r="E805" s="150" t="s">
        <v>398</v>
      </c>
      <c r="F805" s="151" t="s">
        <v>1170</v>
      </c>
      <c r="G805" s="148"/>
    </row>
    <row r="806" ht="15.75" customHeight="1">
      <c r="A806" s="148"/>
      <c r="B806" s="132" t="s">
        <v>322</v>
      </c>
      <c r="C806" s="133">
        <v>1446757.0</v>
      </c>
      <c r="D806" s="149" t="s">
        <v>397</v>
      </c>
      <c r="E806" s="150" t="s">
        <v>398</v>
      </c>
      <c r="F806" s="151" t="s">
        <v>1170</v>
      </c>
      <c r="G806" s="148"/>
    </row>
    <row r="807" ht="15.75" customHeight="1">
      <c r="A807" s="148"/>
      <c r="B807" s="132" t="s">
        <v>322</v>
      </c>
      <c r="C807" s="133">
        <v>1446758.0</v>
      </c>
      <c r="D807" s="149" t="s">
        <v>397</v>
      </c>
      <c r="E807" s="150" t="s">
        <v>398</v>
      </c>
      <c r="F807" s="151" t="s">
        <v>1170</v>
      </c>
      <c r="G807" s="148"/>
    </row>
    <row r="808" ht="15.75" customHeight="1">
      <c r="A808" s="148"/>
      <c r="B808" s="132" t="s">
        <v>322</v>
      </c>
      <c r="C808" s="133">
        <v>1446759.0</v>
      </c>
      <c r="D808" s="149" t="s">
        <v>397</v>
      </c>
      <c r="E808" s="150" t="s">
        <v>398</v>
      </c>
      <c r="F808" s="151" t="s">
        <v>1170</v>
      </c>
      <c r="G808" s="148"/>
    </row>
    <row r="809" ht="15.75" customHeight="1">
      <c r="A809" s="148"/>
      <c r="B809" s="132" t="s">
        <v>322</v>
      </c>
      <c r="C809" s="133">
        <v>1446774.0</v>
      </c>
      <c r="D809" s="149" t="s">
        <v>397</v>
      </c>
      <c r="E809" s="150" t="s">
        <v>398</v>
      </c>
      <c r="F809" s="151" t="s">
        <v>1171</v>
      </c>
      <c r="G809" s="148"/>
    </row>
    <row r="810" ht="15.75" customHeight="1">
      <c r="A810" s="148"/>
      <c r="B810" s="132" t="s">
        <v>322</v>
      </c>
      <c r="C810" s="133">
        <v>1446775.0</v>
      </c>
      <c r="D810" s="149" t="s">
        <v>397</v>
      </c>
      <c r="E810" s="150" t="s">
        <v>398</v>
      </c>
      <c r="F810" s="151" t="s">
        <v>1171</v>
      </c>
      <c r="G810" s="148"/>
    </row>
    <row r="811" ht="15.75" customHeight="1">
      <c r="A811" s="148"/>
      <c r="B811" s="132" t="s">
        <v>322</v>
      </c>
      <c r="C811" s="133">
        <v>1446776.0</v>
      </c>
      <c r="D811" s="149" t="s">
        <v>397</v>
      </c>
      <c r="E811" s="150" t="s">
        <v>398</v>
      </c>
      <c r="F811" s="151" t="s">
        <v>1171</v>
      </c>
      <c r="G811" s="148"/>
    </row>
    <row r="812" ht="15.75" customHeight="1">
      <c r="A812" s="148"/>
      <c r="B812" s="132" t="s">
        <v>322</v>
      </c>
      <c r="C812" s="133">
        <v>1446777.0</v>
      </c>
      <c r="D812" s="149" t="s">
        <v>397</v>
      </c>
      <c r="E812" s="150" t="s">
        <v>398</v>
      </c>
      <c r="F812" s="151" t="s">
        <v>1171</v>
      </c>
      <c r="G812" s="148"/>
    </row>
    <row r="813" ht="15.75" customHeight="1">
      <c r="A813" s="148"/>
      <c r="B813" s="132" t="s">
        <v>322</v>
      </c>
      <c r="C813" s="133">
        <v>1446778.0</v>
      </c>
      <c r="D813" s="149" t="s">
        <v>397</v>
      </c>
      <c r="E813" s="150" t="s">
        <v>398</v>
      </c>
      <c r="F813" s="151" t="s">
        <v>1171</v>
      </c>
      <c r="G813" s="148"/>
    </row>
    <row r="814" ht="15.75" customHeight="1">
      <c r="A814" s="148"/>
      <c r="B814" s="132" t="s">
        <v>322</v>
      </c>
      <c r="C814" s="133">
        <v>1446779.0</v>
      </c>
      <c r="D814" s="149" t="s">
        <v>397</v>
      </c>
      <c r="E814" s="150" t="s">
        <v>398</v>
      </c>
      <c r="F814" s="151" t="s">
        <v>1171</v>
      </c>
      <c r="G814" s="148"/>
    </row>
    <row r="815" ht="15.75" customHeight="1">
      <c r="A815" s="148"/>
      <c r="B815" s="132" t="s">
        <v>322</v>
      </c>
      <c r="C815" s="133">
        <v>1446799.0</v>
      </c>
      <c r="D815" s="149" t="s">
        <v>397</v>
      </c>
      <c r="E815" s="150" t="s">
        <v>398</v>
      </c>
      <c r="F815" s="151" t="s">
        <v>1172</v>
      </c>
      <c r="G815" s="148"/>
    </row>
    <row r="816" ht="15.75" customHeight="1">
      <c r="A816" s="148"/>
      <c r="B816" s="132" t="s">
        <v>322</v>
      </c>
      <c r="C816" s="133">
        <v>1446800.0</v>
      </c>
      <c r="D816" s="149" t="s">
        <v>397</v>
      </c>
      <c r="E816" s="150" t="s">
        <v>398</v>
      </c>
      <c r="F816" s="151" t="s">
        <v>1172</v>
      </c>
      <c r="G816" s="148"/>
    </row>
    <row r="817" ht="15.75" customHeight="1">
      <c r="A817" s="148"/>
      <c r="B817" s="132" t="s">
        <v>322</v>
      </c>
      <c r="C817" s="133">
        <v>1446801.0</v>
      </c>
      <c r="D817" s="149" t="s">
        <v>397</v>
      </c>
      <c r="E817" s="150" t="s">
        <v>398</v>
      </c>
      <c r="F817" s="151" t="s">
        <v>1172</v>
      </c>
      <c r="G817" s="148"/>
    </row>
    <row r="818" ht="15.75" customHeight="1">
      <c r="A818" s="148"/>
      <c r="B818" s="132" t="s">
        <v>322</v>
      </c>
      <c r="C818" s="133">
        <v>1518878.0</v>
      </c>
      <c r="D818" s="149" t="s">
        <v>397</v>
      </c>
      <c r="E818" s="150" t="s">
        <v>398</v>
      </c>
      <c r="F818" s="151" t="s">
        <v>1173</v>
      </c>
      <c r="G818" s="148"/>
    </row>
    <row r="819" ht="15.75" customHeight="1">
      <c r="A819" s="148"/>
      <c r="B819" s="132" t="s">
        <v>322</v>
      </c>
      <c r="C819" s="133">
        <v>1518879.0</v>
      </c>
      <c r="D819" s="149" t="s">
        <v>397</v>
      </c>
      <c r="E819" s="150" t="s">
        <v>398</v>
      </c>
      <c r="F819" s="151" t="s">
        <v>1173</v>
      </c>
      <c r="G819" s="148"/>
    </row>
    <row r="820" ht="15.75" customHeight="1">
      <c r="A820" s="148"/>
      <c r="B820" s="132" t="s">
        <v>322</v>
      </c>
      <c r="C820" s="133">
        <v>1518880.0</v>
      </c>
      <c r="D820" s="149" t="s">
        <v>397</v>
      </c>
      <c r="E820" s="150" t="s">
        <v>398</v>
      </c>
      <c r="F820" s="151" t="s">
        <v>1173</v>
      </c>
      <c r="G820" s="148"/>
    </row>
    <row r="821" ht="15.75" customHeight="1">
      <c r="A821" s="148"/>
      <c r="B821" s="132" t="s">
        <v>322</v>
      </c>
      <c r="C821" s="133">
        <v>1518881.0</v>
      </c>
      <c r="D821" s="149" t="s">
        <v>397</v>
      </c>
      <c r="E821" s="150" t="s">
        <v>398</v>
      </c>
      <c r="F821" s="151" t="s">
        <v>1173</v>
      </c>
      <c r="G821" s="148"/>
    </row>
    <row r="822" ht="15.75" customHeight="1">
      <c r="A822" s="148"/>
      <c r="B822" s="132" t="s">
        <v>322</v>
      </c>
      <c r="C822" s="133">
        <v>1518882.0</v>
      </c>
      <c r="D822" s="149" t="s">
        <v>397</v>
      </c>
      <c r="E822" s="150" t="s">
        <v>398</v>
      </c>
      <c r="F822" s="151" t="s">
        <v>1173</v>
      </c>
      <c r="G822" s="148"/>
    </row>
    <row r="823" ht="15.75" customHeight="1">
      <c r="A823" s="148"/>
      <c r="B823" s="132" t="s">
        <v>322</v>
      </c>
      <c r="C823" s="133">
        <v>1518883.0</v>
      </c>
      <c r="D823" s="149" t="s">
        <v>397</v>
      </c>
      <c r="E823" s="150" t="s">
        <v>398</v>
      </c>
      <c r="F823" s="151" t="s">
        <v>1173</v>
      </c>
      <c r="G823" s="148"/>
    </row>
    <row r="824" ht="15.75" customHeight="1">
      <c r="A824" s="148"/>
      <c r="B824" s="132" t="s">
        <v>322</v>
      </c>
      <c r="C824" s="133">
        <v>1518884.0</v>
      </c>
      <c r="D824" s="149" t="s">
        <v>397</v>
      </c>
      <c r="E824" s="150" t="s">
        <v>398</v>
      </c>
      <c r="F824" s="151" t="s">
        <v>1173</v>
      </c>
      <c r="G824" s="148"/>
    </row>
    <row r="825" ht="15.75" customHeight="1">
      <c r="A825" s="148"/>
      <c r="B825" s="132" t="s">
        <v>322</v>
      </c>
      <c r="C825" s="133">
        <v>1518885.0</v>
      </c>
      <c r="D825" s="149" t="s">
        <v>397</v>
      </c>
      <c r="E825" s="150" t="s">
        <v>398</v>
      </c>
      <c r="F825" s="151" t="s">
        <v>1173</v>
      </c>
      <c r="G825" s="148"/>
    </row>
    <row r="826" ht="15.75" customHeight="1">
      <c r="A826" s="148"/>
      <c r="B826" s="132" t="s">
        <v>322</v>
      </c>
      <c r="C826" s="133">
        <v>1518886.0</v>
      </c>
      <c r="D826" s="149" t="s">
        <v>397</v>
      </c>
      <c r="E826" s="150" t="s">
        <v>398</v>
      </c>
      <c r="F826" s="151" t="s">
        <v>1173</v>
      </c>
      <c r="G826" s="148"/>
    </row>
    <row r="827" ht="15.75" customHeight="1">
      <c r="A827" s="148"/>
      <c r="B827" s="132" t="s">
        <v>322</v>
      </c>
      <c r="C827" s="133">
        <v>1518887.0</v>
      </c>
      <c r="D827" s="149" t="s">
        <v>397</v>
      </c>
      <c r="E827" s="150" t="s">
        <v>398</v>
      </c>
      <c r="F827" s="151" t="s">
        <v>1173</v>
      </c>
      <c r="G827" s="148"/>
    </row>
    <row r="828" ht="15.75" customHeight="1">
      <c r="A828" s="148"/>
      <c r="B828" s="132" t="s">
        <v>322</v>
      </c>
      <c r="C828" s="133">
        <v>1518888.0</v>
      </c>
      <c r="D828" s="149" t="s">
        <v>397</v>
      </c>
      <c r="E828" s="150" t="s">
        <v>398</v>
      </c>
      <c r="F828" s="151" t="s">
        <v>1173</v>
      </c>
      <c r="G828" s="148"/>
    </row>
    <row r="829" ht="15.75" customHeight="1">
      <c r="A829" s="148"/>
      <c r="B829" s="132" t="s">
        <v>322</v>
      </c>
      <c r="C829" s="133">
        <v>1518889.0</v>
      </c>
      <c r="D829" s="149" t="s">
        <v>397</v>
      </c>
      <c r="E829" s="150" t="s">
        <v>398</v>
      </c>
      <c r="F829" s="151" t="s">
        <v>1173</v>
      </c>
      <c r="G829" s="148"/>
    </row>
    <row r="830" ht="15.75" customHeight="1">
      <c r="A830" s="148"/>
      <c r="B830" s="132" t="s">
        <v>322</v>
      </c>
      <c r="C830" s="133">
        <v>1518890.0</v>
      </c>
      <c r="D830" s="149" t="s">
        <v>397</v>
      </c>
      <c r="E830" s="150" t="s">
        <v>398</v>
      </c>
      <c r="F830" s="151" t="s">
        <v>1173</v>
      </c>
      <c r="G830" s="148"/>
    </row>
    <row r="831" ht="15.75" customHeight="1">
      <c r="A831" s="148"/>
      <c r="B831" s="132" t="s">
        <v>322</v>
      </c>
      <c r="C831" s="133">
        <v>1518891.0</v>
      </c>
      <c r="D831" s="149" t="s">
        <v>397</v>
      </c>
      <c r="E831" s="150" t="s">
        <v>398</v>
      </c>
      <c r="F831" s="151" t="s">
        <v>1173</v>
      </c>
      <c r="G831" s="148"/>
    </row>
    <row r="832" ht="15.75" customHeight="1">
      <c r="A832" s="148"/>
      <c r="B832" s="132" t="s">
        <v>322</v>
      </c>
      <c r="C832" s="133">
        <v>1518892.0</v>
      </c>
      <c r="D832" s="149" t="s">
        <v>397</v>
      </c>
      <c r="E832" s="150" t="s">
        <v>398</v>
      </c>
      <c r="F832" s="151" t="s">
        <v>1173</v>
      </c>
      <c r="G832" s="148"/>
    </row>
    <row r="833" ht="15.75" customHeight="1">
      <c r="A833" s="148"/>
      <c r="B833" s="132" t="s">
        <v>322</v>
      </c>
      <c r="C833" s="133">
        <v>1518893.0</v>
      </c>
      <c r="D833" s="149" t="s">
        <v>397</v>
      </c>
      <c r="E833" s="150" t="s">
        <v>398</v>
      </c>
      <c r="F833" s="151" t="s">
        <v>1173</v>
      </c>
      <c r="G833" s="148"/>
    </row>
    <row r="834" ht="15.75" customHeight="1">
      <c r="A834" s="148"/>
      <c r="B834" s="132" t="s">
        <v>322</v>
      </c>
      <c r="C834" s="133">
        <v>1518894.0</v>
      </c>
      <c r="D834" s="149" t="s">
        <v>397</v>
      </c>
      <c r="E834" s="150" t="s">
        <v>398</v>
      </c>
      <c r="F834" s="151" t="s">
        <v>1173</v>
      </c>
      <c r="G834" s="148"/>
    </row>
    <row r="835" ht="15.75" customHeight="1">
      <c r="A835" s="148"/>
      <c r="B835" s="132" t="s">
        <v>322</v>
      </c>
      <c r="C835" s="133">
        <v>1518895.0</v>
      </c>
      <c r="D835" s="149" t="s">
        <v>397</v>
      </c>
      <c r="E835" s="150" t="s">
        <v>398</v>
      </c>
      <c r="F835" s="151" t="s">
        <v>1173</v>
      </c>
      <c r="G835" s="148"/>
    </row>
    <row r="836" ht="15.75" customHeight="1">
      <c r="A836" s="148"/>
      <c r="B836" s="132" t="s">
        <v>322</v>
      </c>
      <c r="C836" s="133">
        <v>1518896.0</v>
      </c>
      <c r="D836" s="149" t="s">
        <v>397</v>
      </c>
      <c r="E836" s="150" t="s">
        <v>398</v>
      </c>
      <c r="F836" s="151" t="s">
        <v>1173</v>
      </c>
      <c r="G836" s="148"/>
    </row>
    <row r="837" ht="15.75" customHeight="1">
      <c r="A837" s="148"/>
      <c r="B837" s="132" t="s">
        <v>322</v>
      </c>
      <c r="C837" s="133">
        <v>1518897.0</v>
      </c>
      <c r="D837" s="149" t="s">
        <v>397</v>
      </c>
      <c r="E837" s="150" t="s">
        <v>398</v>
      </c>
      <c r="F837" s="151" t="s">
        <v>1173</v>
      </c>
      <c r="G837" s="148"/>
    </row>
    <row r="838" ht="15.75" customHeight="1">
      <c r="A838" s="148"/>
      <c r="B838" s="132" t="s">
        <v>322</v>
      </c>
      <c r="C838" s="133">
        <v>1518898.0</v>
      </c>
      <c r="D838" s="149" t="s">
        <v>397</v>
      </c>
      <c r="E838" s="150" t="s">
        <v>398</v>
      </c>
      <c r="F838" s="151" t="s">
        <v>1173</v>
      </c>
      <c r="G838" s="148"/>
    </row>
    <row r="839" ht="15.75" customHeight="1">
      <c r="A839" s="148"/>
      <c r="B839" s="132" t="s">
        <v>322</v>
      </c>
      <c r="C839" s="133">
        <v>1518899.0</v>
      </c>
      <c r="D839" s="149" t="s">
        <v>397</v>
      </c>
      <c r="E839" s="150" t="s">
        <v>398</v>
      </c>
      <c r="F839" s="151" t="s">
        <v>1173</v>
      </c>
      <c r="G839" s="148"/>
    </row>
    <row r="840" ht="15.75" customHeight="1">
      <c r="A840" s="148"/>
      <c r="B840" s="132" t="s">
        <v>322</v>
      </c>
      <c r="C840" s="133">
        <v>1518900.0</v>
      </c>
      <c r="D840" s="149" t="s">
        <v>397</v>
      </c>
      <c r="E840" s="150" t="s">
        <v>398</v>
      </c>
      <c r="F840" s="151" t="s">
        <v>1173</v>
      </c>
      <c r="G840" s="148"/>
    </row>
    <row r="841" ht="15.75" customHeight="1">
      <c r="A841" s="148"/>
      <c r="B841" s="132" t="s">
        <v>322</v>
      </c>
      <c r="C841" s="133">
        <v>1518901.0</v>
      </c>
      <c r="D841" s="149" t="s">
        <v>397</v>
      </c>
      <c r="E841" s="150" t="s">
        <v>398</v>
      </c>
      <c r="F841" s="151" t="s">
        <v>1173</v>
      </c>
      <c r="G841" s="148"/>
    </row>
    <row r="842" ht="15.75" customHeight="1">
      <c r="A842" s="148"/>
      <c r="B842" s="132" t="s">
        <v>322</v>
      </c>
      <c r="C842" s="133">
        <v>1518902.0</v>
      </c>
      <c r="D842" s="149" t="s">
        <v>397</v>
      </c>
      <c r="E842" s="150" t="s">
        <v>398</v>
      </c>
      <c r="F842" s="151" t="s">
        <v>1173</v>
      </c>
      <c r="G842" s="148"/>
    </row>
    <row r="843" ht="15.75" customHeight="1">
      <c r="A843" s="148"/>
      <c r="B843" s="132" t="s">
        <v>322</v>
      </c>
      <c r="C843" s="133">
        <v>1518903.0</v>
      </c>
      <c r="D843" s="149" t="s">
        <v>397</v>
      </c>
      <c r="E843" s="150" t="s">
        <v>398</v>
      </c>
      <c r="F843" s="151" t="s">
        <v>1173</v>
      </c>
      <c r="G843" s="148"/>
    </row>
    <row r="844" ht="15.75" customHeight="1">
      <c r="A844" s="148"/>
      <c r="B844" s="132" t="s">
        <v>322</v>
      </c>
      <c r="C844" s="133">
        <v>1518904.0</v>
      </c>
      <c r="D844" s="149" t="s">
        <v>397</v>
      </c>
      <c r="E844" s="150" t="s">
        <v>398</v>
      </c>
      <c r="F844" s="151" t="s">
        <v>1173</v>
      </c>
      <c r="G844" s="148"/>
    </row>
    <row r="845" ht="15.75" customHeight="1">
      <c r="A845" s="148"/>
      <c r="B845" s="132" t="s">
        <v>322</v>
      </c>
      <c r="C845" s="133">
        <v>1518905.0</v>
      </c>
      <c r="D845" s="149" t="s">
        <v>397</v>
      </c>
      <c r="E845" s="150" t="s">
        <v>398</v>
      </c>
      <c r="F845" s="151" t="s">
        <v>1173</v>
      </c>
      <c r="G845" s="148"/>
    </row>
    <row r="846" ht="15.75" customHeight="1">
      <c r="A846" s="148"/>
      <c r="B846" s="132" t="s">
        <v>322</v>
      </c>
      <c r="C846" s="133">
        <v>1518906.0</v>
      </c>
      <c r="D846" s="149" t="s">
        <v>397</v>
      </c>
      <c r="E846" s="150" t="s">
        <v>398</v>
      </c>
      <c r="F846" s="151" t="s">
        <v>1173</v>
      </c>
      <c r="G846" s="148"/>
    </row>
    <row r="847" ht="15.75" customHeight="1">
      <c r="A847" s="148"/>
      <c r="B847" s="132" t="s">
        <v>322</v>
      </c>
      <c r="C847" s="133">
        <v>1518907.0</v>
      </c>
      <c r="D847" s="149" t="s">
        <v>397</v>
      </c>
      <c r="E847" s="150" t="s">
        <v>398</v>
      </c>
      <c r="F847" s="151" t="s">
        <v>1173</v>
      </c>
      <c r="G847" s="148"/>
    </row>
    <row r="848" ht="15.75" customHeight="1">
      <c r="A848" s="148"/>
      <c r="B848" s="132" t="s">
        <v>322</v>
      </c>
      <c r="C848" s="133">
        <v>1518908.0</v>
      </c>
      <c r="D848" s="149" t="s">
        <v>397</v>
      </c>
      <c r="E848" s="150" t="s">
        <v>398</v>
      </c>
      <c r="F848" s="151" t="s">
        <v>1173</v>
      </c>
      <c r="G848" s="148"/>
    </row>
    <row r="849" ht="15.75" customHeight="1">
      <c r="A849" s="148"/>
      <c r="B849" s="132" t="s">
        <v>322</v>
      </c>
      <c r="C849" s="133">
        <v>1518909.0</v>
      </c>
      <c r="D849" s="149" t="s">
        <v>397</v>
      </c>
      <c r="E849" s="150" t="s">
        <v>398</v>
      </c>
      <c r="F849" s="151" t="s">
        <v>1173</v>
      </c>
      <c r="G849" s="148"/>
    </row>
    <row r="850" ht="15.75" customHeight="1">
      <c r="A850" s="148"/>
      <c r="B850" s="132" t="s">
        <v>322</v>
      </c>
      <c r="C850" s="133">
        <v>1518910.0</v>
      </c>
      <c r="D850" s="149" t="s">
        <v>397</v>
      </c>
      <c r="E850" s="150" t="s">
        <v>398</v>
      </c>
      <c r="F850" s="151" t="s">
        <v>1173</v>
      </c>
      <c r="G850" s="148"/>
    </row>
    <row r="851" ht="15.75" customHeight="1">
      <c r="A851" s="148"/>
      <c r="B851" s="132" t="s">
        <v>322</v>
      </c>
      <c r="C851" s="133">
        <v>1518911.0</v>
      </c>
      <c r="D851" s="149" t="s">
        <v>397</v>
      </c>
      <c r="E851" s="150" t="s">
        <v>398</v>
      </c>
      <c r="F851" s="151" t="s">
        <v>1173</v>
      </c>
      <c r="G851" s="148"/>
    </row>
    <row r="852" ht="15.75" customHeight="1">
      <c r="A852" s="148"/>
      <c r="B852" s="132" t="s">
        <v>322</v>
      </c>
      <c r="C852" s="133">
        <v>1518912.0</v>
      </c>
      <c r="D852" s="149" t="s">
        <v>397</v>
      </c>
      <c r="E852" s="150" t="s">
        <v>398</v>
      </c>
      <c r="F852" s="151" t="s">
        <v>1173</v>
      </c>
      <c r="G852" s="148"/>
    </row>
    <row r="853" ht="15.75" customHeight="1">
      <c r="A853" s="148"/>
      <c r="B853" s="132" t="s">
        <v>322</v>
      </c>
      <c r="C853" s="133">
        <v>1518913.0</v>
      </c>
      <c r="D853" s="149" t="s">
        <v>397</v>
      </c>
      <c r="E853" s="150" t="s">
        <v>398</v>
      </c>
      <c r="F853" s="151" t="s">
        <v>1173</v>
      </c>
      <c r="G853" s="148"/>
    </row>
    <row r="854" ht="15.75" customHeight="1">
      <c r="A854" s="148"/>
      <c r="B854" s="132" t="s">
        <v>322</v>
      </c>
      <c r="C854" s="133">
        <v>1518914.0</v>
      </c>
      <c r="D854" s="149" t="s">
        <v>397</v>
      </c>
      <c r="E854" s="150" t="s">
        <v>398</v>
      </c>
      <c r="F854" s="151" t="s">
        <v>1173</v>
      </c>
      <c r="G854" s="148"/>
    </row>
    <row r="855" ht="15.75" customHeight="1">
      <c r="A855" s="148"/>
      <c r="B855" s="132" t="s">
        <v>322</v>
      </c>
      <c r="C855" s="133">
        <v>1518915.0</v>
      </c>
      <c r="D855" s="149" t="s">
        <v>397</v>
      </c>
      <c r="E855" s="150" t="s">
        <v>398</v>
      </c>
      <c r="F855" s="151" t="s">
        <v>1173</v>
      </c>
      <c r="G855" s="148"/>
    </row>
    <row r="856" ht="15.75" customHeight="1">
      <c r="A856" s="148"/>
      <c r="B856" s="132" t="s">
        <v>322</v>
      </c>
      <c r="C856" s="133">
        <v>1518916.0</v>
      </c>
      <c r="D856" s="149" t="s">
        <v>397</v>
      </c>
      <c r="E856" s="150" t="s">
        <v>398</v>
      </c>
      <c r="F856" s="151" t="s">
        <v>1173</v>
      </c>
      <c r="G856" s="148"/>
    </row>
    <row r="857" ht="15.75" customHeight="1">
      <c r="A857" s="148"/>
      <c r="B857" s="132" t="s">
        <v>322</v>
      </c>
      <c r="C857" s="133">
        <v>1518917.0</v>
      </c>
      <c r="D857" s="149" t="s">
        <v>397</v>
      </c>
      <c r="E857" s="150" t="s">
        <v>398</v>
      </c>
      <c r="F857" s="151" t="s">
        <v>1173</v>
      </c>
      <c r="G857" s="148"/>
    </row>
    <row r="858" ht="15.75" customHeight="1">
      <c r="A858" s="148"/>
      <c r="B858" s="132" t="s">
        <v>322</v>
      </c>
      <c r="C858" s="133">
        <v>1518918.0</v>
      </c>
      <c r="D858" s="149" t="s">
        <v>397</v>
      </c>
      <c r="E858" s="150" t="s">
        <v>398</v>
      </c>
      <c r="F858" s="151" t="s">
        <v>1173</v>
      </c>
      <c r="G858" s="148"/>
    </row>
    <row r="859" ht="15.75" customHeight="1">
      <c r="A859" s="148"/>
      <c r="B859" s="132" t="s">
        <v>322</v>
      </c>
      <c r="C859" s="133">
        <v>1518919.0</v>
      </c>
      <c r="D859" s="149" t="s">
        <v>397</v>
      </c>
      <c r="E859" s="150" t="s">
        <v>398</v>
      </c>
      <c r="F859" s="151" t="s">
        <v>1173</v>
      </c>
      <c r="G859" s="148"/>
    </row>
    <row r="860" ht="15.75" customHeight="1">
      <c r="A860" s="148"/>
      <c r="B860" s="132" t="s">
        <v>322</v>
      </c>
      <c r="C860" s="133">
        <v>1518920.0</v>
      </c>
      <c r="D860" s="149" t="s">
        <v>397</v>
      </c>
      <c r="E860" s="150" t="s">
        <v>398</v>
      </c>
      <c r="F860" s="151" t="s">
        <v>1173</v>
      </c>
      <c r="G860" s="148"/>
    </row>
    <row r="861" ht="15.75" customHeight="1">
      <c r="A861" s="148"/>
      <c r="B861" s="132" t="s">
        <v>322</v>
      </c>
      <c r="C861" s="133">
        <v>1518921.0</v>
      </c>
      <c r="D861" s="149" t="s">
        <v>397</v>
      </c>
      <c r="E861" s="150" t="s">
        <v>398</v>
      </c>
      <c r="F861" s="151" t="s">
        <v>1173</v>
      </c>
      <c r="G861" s="148"/>
    </row>
    <row r="862" ht="15.75" customHeight="1">
      <c r="A862" s="148"/>
      <c r="B862" s="132" t="s">
        <v>322</v>
      </c>
      <c r="C862" s="133">
        <v>1518922.0</v>
      </c>
      <c r="D862" s="149" t="s">
        <v>397</v>
      </c>
      <c r="E862" s="150" t="s">
        <v>398</v>
      </c>
      <c r="F862" s="151" t="s">
        <v>1173</v>
      </c>
      <c r="G862" s="148"/>
    </row>
    <row r="863" ht="15.75" customHeight="1">
      <c r="A863" s="148"/>
      <c r="B863" s="132" t="s">
        <v>322</v>
      </c>
      <c r="C863" s="133">
        <v>1518927.0</v>
      </c>
      <c r="D863" s="149" t="s">
        <v>397</v>
      </c>
      <c r="E863" s="150" t="s">
        <v>398</v>
      </c>
      <c r="F863" s="151" t="s">
        <v>1174</v>
      </c>
      <c r="G863" s="148"/>
    </row>
    <row r="864" ht="15.75" customHeight="1">
      <c r="A864" s="148"/>
      <c r="B864" s="132" t="s">
        <v>322</v>
      </c>
      <c r="C864" s="133">
        <v>1518928.0</v>
      </c>
      <c r="D864" s="149" t="s">
        <v>397</v>
      </c>
      <c r="E864" s="150" t="s">
        <v>398</v>
      </c>
      <c r="F864" s="151" t="s">
        <v>1174</v>
      </c>
      <c r="G864" s="148"/>
    </row>
    <row r="865" ht="15.75" customHeight="1">
      <c r="A865" s="148"/>
      <c r="B865" s="132" t="s">
        <v>322</v>
      </c>
      <c r="C865" s="133">
        <v>1518929.0</v>
      </c>
      <c r="D865" s="149" t="s">
        <v>397</v>
      </c>
      <c r="E865" s="150" t="s">
        <v>398</v>
      </c>
      <c r="F865" s="151" t="s">
        <v>1174</v>
      </c>
      <c r="G865" s="148"/>
    </row>
    <row r="866" ht="15.75" customHeight="1">
      <c r="A866" s="148"/>
      <c r="B866" s="132" t="s">
        <v>322</v>
      </c>
      <c r="C866" s="133">
        <v>1518930.0</v>
      </c>
      <c r="D866" s="149" t="s">
        <v>397</v>
      </c>
      <c r="E866" s="150" t="s">
        <v>398</v>
      </c>
      <c r="F866" s="151" t="s">
        <v>1174</v>
      </c>
      <c r="G866" s="148"/>
    </row>
    <row r="867" ht="15.75" customHeight="1">
      <c r="A867" s="148"/>
      <c r="B867" s="132" t="s">
        <v>322</v>
      </c>
      <c r="C867" s="133">
        <v>1518939.0</v>
      </c>
      <c r="D867" s="152" t="s">
        <v>543</v>
      </c>
      <c r="E867" s="125" t="s">
        <v>296</v>
      </c>
      <c r="F867" s="151" t="s">
        <v>1175</v>
      </c>
      <c r="G867" s="148"/>
    </row>
    <row r="868" ht="15.75" customHeight="1">
      <c r="A868" s="148"/>
      <c r="B868" s="132" t="s">
        <v>322</v>
      </c>
      <c r="C868" s="133">
        <v>1518940.0</v>
      </c>
      <c r="D868" s="152" t="s">
        <v>543</v>
      </c>
      <c r="E868" s="125" t="s">
        <v>296</v>
      </c>
      <c r="F868" s="151" t="s">
        <v>1175</v>
      </c>
      <c r="G868" s="148"/>
    </row>
    <row r="869" ht="15.75" customHeight="1">
      <c r="A869" s="148"/>
      <c r="B869" s="132" t="s">
        <v>322</v>
      </c>
      <c r="C869" s="133">
        <v>1518941.0</v>
      </c>
      <c r="D869" s="152" t="s">
        <v>543</v>
      </c>
      <c r="E869" s="125" t="s">
        <v>296</v>
      </c>
      <c r="F869" s="151" t="s">
        <v>1175</v>
      </c>
      <c r="G869" s="148"/>
    </row>
    <row r="870" ht="15.75" customHeight="1">
      <c r="A870" s="148"/>
      <c r="B870" s="132" t="s">
        <v>322</v>
      </c>
      <c r="C870" s="133">
        <v>1518942.0</v>
      </c>
      <c r="D870" s="152" t="s">
        <v>543</v>
      </c>
      <c r="E870" s="125" t="s">
        <v>296</v>
      </c>
      <c r="F870" s="151" t="s">
        <v>1175</v>
      </c>
      <c r="G870" s="148"/>
    </row>
    <row r="871" ht="15.75" customHeight="1">
      <c r="A871" s="148"/>
      <c r="B871" s="132" t="s">
        <v>322</v>
      </c>
      <c r="C871" s="133">
        <v>1518943.0</v>
      </c>
      <c r="D871" s="152" t="s">
        <v>543</v>
      </c>
      <c r="E871" s="125" t="s">
        <v>296</v>
      </c>
      <c r="F871" s="151" t="s">
        <v>1175</v>
      </c>
      <c r="G871" s="148"/>
    </row>
    <row r="872" ht="15.75" customHeight="1">
      <c r="A872" s="148"/>
      <c r="B872" s="132" t="s">
        <v>322</v>
      </c>
      <c r="C872" s="133">
        <v>1518944.0</v>
      </c>
      <c r="D872" s="152" t="s">
        <v>543</v>
      </c>
      <c r="E872" s="125" t="s">
        <v>296</v>
      </c>
      <c r="F872" s="151" t="s">
        <v>1175</v>
      </c>
      <c r="G872" s="148"/>
    </row>
    <row r="873" ht="15.75" customHeight="1">
      <c r="A873" s="148"/>
      <c r="B873" s="132" t="s">
        <v>322</v>
      </c>
      <c r="C873" s="133">
        <v>1518945.0</v>
      </c>
      <c r="D873" s="152" t="s">
        <v>543</v>
      </c>
      <c r="E873" s="125" t="s">
        <v>296</v>
      </c>
      <c r="F873" s="151" t="s">
        <v>1175</v>
      </c>
      <c r="G873" s="148"/>
    </row>
    <row r="874" ht="15.75" customHeight="1">
      <c r="A874" s="148"/>
      <c r="B874" s="132" t="s">
        <v>322</v>
      </c>
      <c r="C874" s="133">
        <v>1896686.0</v>
      </c>
      <c r="D874" s="149" t="s">
        <v>397</v>
      </c>
      <c r="E874" s="150" t="s">
        <v>398</v>
      </c>
      <c r="F874" s="151" t="s">
        <v>1176</v>
      </c>
      <c r="G874" s="148"/>
    </row>
    <row r="875" ht="15.75" customHeight="1">
      <c r="A875" s="148"/>
      <c r="B875" s="132" t="s">
        <v>322</v>
      </c>
      <c r="C875" s="133">
        <v>1896687.0</v>
      </c>
      <c r="D875" s="149" t="s">
        <v>397</v>
      </c>
      <c r="E875" s="150" t="s">
        <v>398</v>
      </c>
      <c r="F875" s="151" t="s">
        <v>1176</v>
      </c>
      <c r="G875" s="148"/>
    </row>
    <row r="876" ht="15.75" customHeight="1">
      <c r="A876" s="148"/>
      <c r="B876" s="132" t="s">
        <v>322</v>
      </c>
      <c r="C876" s="133">
        <v>1896688.0</v>
      </c>
      <c r="D876" s="149" t="s">
        <v>397</v>
      </c>
      <c r="E876" s="150" t="s">
        <v>398</v>
      </c>
      <c r="F876" s="151" t="s">
        <v>1176</v>
      </c>
      <c r="G876" s="148"/>
    </row>
    <row r="877" ht="15.75" customHeight="1">
      <c r="A877" s="148"/>
      <c r="B877" s="132" t="s">
        <v>322</v>
      </c>
      <c r="C877" s="133">
        <v>1896689.0</v>
      </c>
      <c r="D877" s="149" t="s">
        <v>397</v>
      </c>
      <c r="E877" s="150" t="s">
        <v>398</v>
      </c>
      <c r="F877" s="151" t="s">
        <v>1176</v>
      </c>
      <c r="G877" s="148"/>
    </row>
    <row r="878" ht="15.75" customHeight="1">
      <c r="A878" s="148"/>
      <c r="B878" s="132" t="s">
        <v>322</v>
      </c>
      <c r="C878" s="133">
        <v>1896690.0</v>
      </c>
      <c r="D878" s="149" t="s">
        <v>397</v>
      </c>
      <c r="E878" s="150" t="s">
        <v>398</v>
      </c>
      <c r="F878" s="151" t="s">
        <v>1176</v>
      </c>
      <c r="G878" s="148"/>
    </row>
    <row r="879" ht="15.75" customHeight="1">
      <c r="A879" s="148"/>
      <c r="B879" s="132" t="s">
        <v>322</v>
      </c>
      <c r="C879" s="133">
        <v>1896691.0</v>
      </c>
      <c r="D879" s="149" t="s">
        <v>397</v>
      </c>
      <c r="E879" s="150" t="s">
        <v>398</v>
      </c>
      <c r="F879" s="151" t="s">
        <v>1176</v>
      </c>
      <c r="G879" s="148"/>
    </row>
    <row r="880" ht="15.75" customHeight="1">
      <c r="A880" s="148"/>
      <c r="B880" s="132" t="s">
        <v>322</v>
      </c>
      <c r="C880" s="133">
        <v>1896692.0</v>
      </c>
      <c r="D880" s="149" t="s">
        <v>397</v>
      </c>
      <c r="E880" s="150" t="s">
        <v>398</v>
      </c>
      <c r="F880" s="151" t="s">
        <v>1176</v>
      </c>
      <c r="G880" s="148"/>
    </row>
    <row r="881" ht="15.75" customHeight="1">
      <c r="A881" s="148"/>
      <c r="B881" s="132" t="s">
        <v>322</v>
      </c>
      <c r="C881" s="133">
        <v>1896693.0</v>
      </c>
      <c r="D881" s="149" t="s">
        <v>397</v>
      </c>
      <c r="E881" s="150" t="s">
        <v>398</v>
      </c>
      <c r="F881" s="151" t="s">
        <v>1176</v>
      </c>
      <c r="G881" s="148"/>
    </row>
    <row r="882" ht="15.75" customHeight="1">
      <c r="A882" s="148"/>
      <c r="B882" s="132" t="s">
        <v>322</v>
      </c>
      <c r="C882" s="133">
        <v>1896694.0</v>
      </c>
      <c r="D882" s="149" t="s">
        <v>397</v>
      </c>
      <c r="E882" s="150" t="s">
        <v>398</v>
      </c>
      <c r="F882" s="151" t="s">
        <v>1176</v>
      </c>
      <c r="G882" s="148"/>
    </row>
    <row r="883" ht="15.75" customHeight="1">
      <c r="A883" s="148"/>
      <c r="B883" s="132" t="s">
        <v>322</v>
      </c>
      <c r="C883" s="133">
        <v>1896695.0</v>
      </c>
      <c r="D883" s="149" t="s">
        <v>397</v>
      </c>
      <c r="E883" s="150" t="s">
        <v>398</v>
      </c>
      <c r="F883" s="151" t="s">
        <v>1176</v>
      </c>
      <c r="G883" s="148"/>
    </row>
    <row r="884" ht="15.75" customHeight="1">
      <c r="A884" s="148"/>
      <c r="B884" s="132" t="s">
        <v>322</v>
      </c>
      <c r="C884" s="133">
        <v>1896696.0</v>
      </c>
      <c r="D884" s="149" t="s">
        <v>397</v>
      </c>
      <c r="E884" s="150" t="s">
        <v>398</v>
      </c>
      <c r="F884" s="151" t="s">
        <v>1176</v>
      </c>
      <c r="G884" s="148"/>
    </row>
    <row r="885" ht="15.75" customHeight="1">
      <c r="A885" s="148"/>
      <c r="B885" s="132" t="s">
        <v>322</v>
      </c>
      <c r="C885" s="133">
        <v>1896697.0</v>
      </c>
      <c r="D885" s="149" t="s">
        <v>397</v>
      </c>
      <c r="E885" s="150" t="s">
        <v>398</v>
      </c>
      <c r="F885" s="151" t="s">
        <v>1176</v>
      </c>
      <c r="G885" s="148"/>
    </row>
    <row r="886" ht="15.75" customHeight="1">
      <c r="A886" s="148"/>
      <c r="B886" s="132" t="s">
        <v>322</v>
      </c>
      <c r="C886" s="133">
        <v>1896698.0</v>
      </c>
      <c r="D886" s="149" t="s">
        <v>397</v>
      </c>
      <c r="E886" s="150" t="s">
        <v>398</v>
      </c>
      <c r="F886" s="151" t="s">
        <v>1176</v>
      </c>
      <c r="G886" s="148"/>
    </row>
    <row r="887" ht="15.75" customHeight="1">
      <c r="A887" s="148"/>
      <c r="B887" s="132" t="s">
        <v>322</v>
      </c>
      <c r="C887" s="133">
        <v>1896699.0</v>
      </c>
      <c r="D887" s="149" t="s">
        <v>397</v>
      </c>
      <c r="E887" s="150" t="s">
        <v>398</v>
      </c>
      <c r="F887" s="151" t="s">
        <v>1176</v>
      </c>
      <c r="G887" s="148"/>
    </row>
    <row r="888" ht="15.75" customHeight="1">
      <c r="A888" s="148"/>
      <c r="B888" s="132" t="s">
        <v>322</v>
      </c>
      <c r="C888" s="133">
        <v>1896700.0</v>
      </c>
      <c r="D888" s="149" t="s">
        <v>397</v>
      </c>
      <c r="E888" s="150" t="s">
        <v>398</v>
      </c>
      <c r="F888" s="151" t="s">
        <v>1176</v>
      </c>
      <c r="G888" s="148"/>
    </row>
    <row r="889" ht="15.75" customHeight="1">
      <c r="A889" s="148"/>
      <c r="B889" s="132" t="s">
        <v>322</v>
      </c>
      <c r="C889" s="133">
        <v>1896701.0</v>
      </c>
      <c r="D889" s="149" t="s">
        <v>397</v>
      </c>
      <c r="E889" s="150" t="s">
        <v>398</v>
      </c>
      <c r="F889" s="151" t="s">
        <v>1176</v>
      </c>
      <c r="G889" s="148"/>
    </row>
    <row r="890" ht="15.75" customHeight="1">
      <c r="A890" s="148"/>
      <c r="B890" s="132" t="s">
        <v>322</v>
      </c>
      <c r="C890" s="133">
        <v>1896702.0</v>
      </c>
      <c r="D890" s="149" t="s">
        <v>397</v>
      </c>
      <c r="E890" s="150" t="s">
        <v>398</v>
      </c>
      <c r="F890" s="151" t="s">
        <v>1176</v>
      </c>
      <c r="G890" s="148"/>
    </row>
    <row r="891" ht="15.75" customHeight="1">
      <c r="A891" s="148"/>
      <c r="B891" s="132" t="s">
        <v>322</v>
      </c>
      <c r="C891" s="133">
        <v>1896703.0</v>
      </c>
      <c r="D891" s="149" t="s">
        <v>397</v>
      </c>
      <c r="E891" s="150" t="s">
        <v>398</v>
      </c>
      <c r="F891" s="151" t="s">
        <v>1176</v>
      </c>
      <c r="G891" s="148"/>
    </row>
    <row r="892" ht="15.75" customHeight="1">
      <c r="A892" s="148"/>
      <c r="B892" s="132" t="s">
        <v>322</v>
      </c>
      <c r="C892" s="133">
        <v>1896704.0</v>
      </c>
      <c r="D892" s="149" t="s">
        <v>397</v>
      </c>
      <c r="E892" s="150" t="s">
        <v>398</v>
      </c>
      <c r="F892" s="151" t="s">
        <v>1176</v>
      </c>
      <c r="G892" s="148"/>
    </row>
    <row r="893" ht="15.75" customHeight="1">
      <c r="A893" s="148"/>
      <c r="B893" s="132" t="s">
        <v>322</v>
      </c>
      <c r="C893" s="133">
        <v>1896705.0</v>
      </c>
      <c r="D893" s="149" t="s">
        <v>397</v>
      </c>
      <c r="E893" s="150" t="s">
        <v>398</v>
      </c>
      <c r="F893" s="151" t="s">
        <v>1176</v>
      </c>
      <c r="G893" s="148"/>
    </row>
    <row r="894" ht="15.75" customHeight="1">
      <c r="A894" s="148"/>
      <c r="B894" s="132" t="s">
        <v>322</v>
      </c>
      <c r="C894" s="133">
        <v>1896706.0</v>
      </c>
      <c r="D894" s="149" t="s">
        <v>397</v>
      </c>
      <c r="E894" s="150" t="s">
        <v>398</v>
      </c>
      <c r="F894" s="151" t="s">
        <v>1176</v>
      </c>
      <c r="G894" s="148"/>
    </row>
    <row r="895" ht="15.75" customHeight="1">
      <c r="A895" s="148"/>
      <c r="B895" s="132" t="s">
        <v>322</v>
      </c>
      <c r="C895" s="133">
        <v>1896707.0</v>
      </c>
      <c r="D895" s="149" t="s">
        <v>397</v>
      </c>
      <c r="E895" s="150" t="s">
        <v>398</v>
      </c>
      <c r="F895" s="151" t="s">
        <v>1176</v>
      </c>
      <c r="G895" s="148"/>
    </row>
    <row r="896" ht="15.75" customHeight="1">
      <c r="A896" s="148"/>
      <c r="B896" s="132" t="s">
        <v>322</v>
      </c>
      <c r="C896" s="133">
        <v>1896708.0</v>
      </c>
      <c r="D896" s="149" t="s">
        <v>397</v>
      </c>
      <c r="E896" s="150" t="s">
        <v>398</v>
      </c>
      <c r="F896" s="151" t="s">
        <v>1176</v>
      </c>
      <c r="G896" s="148"/>
    </row>
    <row r="897" ht="15.75" customHeight="1">
      <c r="A897" s="148"/>
      <c r="B897" s="132" t="s">
        <v>322</v>
      </c>
      <c r="C897" s="133">
        <v>1896709.0</v>
      </c>
      <c r="D897" s="149" t="s">
        <v>397</v>
      </c>
      <c r="E897" s="150" t="s">
        <v>398</v>
      </c>
      <c r="F897" s="151" t="s">
        <v>1176</v>
      </c>
      <c r="G897" s="148"/>
    </row>
    <row r="898" ht="15.75" customHeight="1">
      <c r="A898" s="148"/>
      <c r="B898" s="132" t="s">
        <v>322</v>
      </c>
      <c r="C898" s="133">
        <v>1896710.0</v>
      </c>
      <c r="D898" s="149" t="s">
        <v>397</v>
      </c>
      <c r="E898" s="150" t="s">
        <v>398</v>
      </c>
      <c r="F898" s="151" t="s">
        <v>1176</v>
      </c>
      <c r="G898" s="148"/>
    </row>
    <row r="899" ht="15.75" customHeight="1">
      <c r="A899" s="148"/>
      <c r="B899" s="132" t="s">
        <v>322</v>
      </c>
      <c r="C899" s="133">
        <v>1896711.0</v>
      </c>
      <c r="D899" s="149" t="s">
        <v>397</v>
      </c>
      <c r="E899" s="150" t="s">
        <v>398</v>
      </c>
      <c r="F899" s="151" t="s">
        <v>1176</v>
      </c>
      <c r="G899" s="148"/>
    </row>
    <row r="900" ht="15.75" customHeight="1">
      <c r="A900" s="148"/>
      <c r="B900" s="132" t="s">
        <v>322</v>
      </c>
      <c r="C900" s="133">
        <v>1896712.0</v>
      </c>
      <c r="D900" s="149" t="s">
        <v>397</v>
      </c>
      <c r="E900" s="150" t="s">
        <v>398</v>
      </c>
      <c r="F900" s="151" t="s">
        <v>1176</v>
      </c>
      <c r="G900" s="148"/>
    </row>
    <row r="901" ht="15.75" customHeight="1">
      <c r="A901" s="148"/>
      <c r="B901" s="132" t="s">
        <v>322</v>
      </c>
      <c r="C901" s="133">
        <v>1896713.0</v>
      </c>
      <c r="D901" s="149" t="s">
        <v>397</v>
      </c>
      <c r="E901" s="150" t="s">
        <v>398</v>
      </c>
      <c r="F901" s="151" t="s">
        <v>1176</v>
      </c>
      <c r="G901" s="148"/>
    </row>
    <row r="902" ht="15.75" customHeight="1">
      <c r="A902" s="148"/>
      <c r="B902" s="132" t="s">
        <v>322</v>
      </c>
      <c r="C902" s="133">
        <v>1896714.0</v>
      </c>
      <c r="D902" s="149" t="s">
        <v>397</v>
      </c>
      <c r="E902" s="150" t="s">
        <v>398</v>
      </c>
      <c r="F902" s="151" t="s">
        <v>1176</v>
      </c>
      <c r="G902" s="148"/>
    </row>
    <row r="903" ht="15.75" customHeight="1">
      <c r="A903" s="148"/>
      <c r="B903" s="132" t="s">
        <v>322</v>
      </c>
      <c r="C903" s="133">
        <v>1896715.0</v>
      </c>
      <c r="D903" s="149" t="s">
        <v>397</v>
      </c>
      <c r="E903" s="150" t="s">
        <v>398</v>
      </c>
      <c r="F903" s="151" t="s">
        <v>1176</v>
      </c>
      <c r="G903" s="148"/>
    </row>
    <row r="904" ht="15.75" customHeight="1">
      <c r="A904" s="148"/>
      <c r="B904" s="132" t="s">
        <v>322</v>
      </c>
      <c r="C904" s="133">
        <v>1896716.0</v>
      </c>
      <c r="D904" s="149" t="s">
        <v>397</v>
      </c>
      <c r="E904" s="150" t="s">
        <v>398</v>
      </c>
      <c r="F904" s="151" t="s">
        <v>1176</v>
      </c>
      <c r="G904" s="148"/>
    </row>
    <row r="905" ht="15.75" customHeight="1">
      <c r="A905" s="148"/>
      <c r="B905" s="132" t="s">
        <v>322</v>
      </c>
      <c r="C905" s="133">
        <v>1896717.0</v>
      </c>
      <c r="D905" s="149" t="s">
        <v>397</v>
      </c>
      <c r="E905" s="150" t="s">
        <v>398</v>
      </c>
      <c r="F905" s="151" t="s">
        <v>1176</v>
      </c>
      <c r="G905" s="148"/>
    </row>
    <row r="906" ht="15.75" customHeight="1">
      <c r="A906" s="148"/>
      <c r="B906" s="132" t="s">
        <v>322</v>
      </c>
      <c r="C906" s="133">
        <v>1896718.0</v>
      </c>
      <c r="D906" s="149" t="s">
        <v>397</v>
      </c>
      <c r="E906" s="150" t="s">
        <v>398</v>
      </c>
      <c r="F906" s="151" t="s">
        <v>1176</v>
      </c>
      <c r="G906" s="148"/>
    </row>
    <row r="907" ht="15.75" customHeight="1">
      <c r="A907" s="148"/>
      <c r="B907" s="132" t="s">
        <v>322</v>
      </c>
      <c r="C907" s="133">
        <v>1896719.0</v>
      </c>
      <c r="D907" s="149" t="s">
        <v>397</v>
      </c>
      <c r="E907" s="150" t="s">
        <v>398</v>
      </c>
      <c r="F907" s="151" t="s">
        <v>1176</v>
      </c>
      <c r="G907" s="148"/>
    </row>
    <row r="908" ht="15.75" customHeight="1">
      <c r="A908" s="148"/>
      <c r="B908" s="132" t="s">
        <v>322</v>
      </c>
      <c r="C908" s="133">
        <v>1896720.0</v>
      </c>
      <c r="D908" s="149" t="s">
        <v>397</v>
      </c>
      <c r="E908" s="150" t="s">
        <v>398</v>
      </c>
      <c r="F908" s="151" t="s">
        <v>1176</v>
      </c>
      <c r="G908" s="148"/>
    </row>
    <row r="909" ht="15.75" customHeight="1">
      <c r="A909" s="148"/>
      <c r="B909" s="132" t="s">
        <v>322</v>
      </c>
      <c r="C909" s="133">
        <v>1896721.0</v>
      </c>
      <c r="D909" s="149" t="s">
        <v>397</v>
      </c>
      <c r="E909" s="150" t="s">
        <v>398</v>
      </c>
      <c r="F909" s="151" t="s">
        <v>1176</v>
      </c>
      <c r="G909" s="148"/>
    </row>
    <row r="910" ht="15.75" customHeight="1">
      <c r="A910" s="148"/>
      <c r="B910" s="132" t="s">
        <v>322</v>
      </c>
      <c r="C910" s="133">
        <v>1896722.0</v>
      </c>
      <c r="D910" s="149" t="s">
        <v>397</v>
      </c>
      <c r="E910" s="150" t="s">
        <v>398</v>
      </c>
      <c r="F910" s="151" t="s">
        <v>1176</v>
      </c>
      <c r="G910" s="148"/>
    </row>
    <row r="911" ht="15.75" customHeight="1">
      <c r="A911" s="148"/>
      <c r="B911" s="132" t="s">
        <v>322</v>
      </c>
      <c r="C911" s="133">
        <v>1896723.0</v>
      </c>
      <c r="D911" s="149" t="s">
        <v>397</v>
      </c>
      <c r="E911" s="150" t="s">
        <v>398</v>
      </c>
      <c r="F911" s="151" t="s">
        <v>1176</v>
      </c>
      <c r="G911" s="148"/>
    </row>
    <row r="912" ht="15.75" customHeight="1">
      <c r="A912" s="148"/>
      <c r="B912" s="132" t="s">
        <v>322</v>
      </c>
      <c r="C912" s="133">
        <v>1896724.0</v>
      </c>
      <c r="D912" s="149" t="s">
        <v>397</v>
      </c>
      <c r="E912" s="150" t="s">
        <v>398</v>
      </c>
      <c r="F912" s="151" t="s">
        <v>1176</v>
      </c>
      <c r="G912" s="148"/>
    </row>
    <row r="913" ht="15.75" customHeight="1">
      <c r="A913" s="148"/>
      <c r="B913" s="132" t="s">
        <v>322</v>
      </c>
      <c r="C913" s="133">
        <v>1896725.0</v>
      </c>
      <c r="D913" s="149" t="s">
        <v>397</v>
      </c>
      <c r="E913" s="150" t="s">
        <v>398</v>
      </c>
      <c r="F913" s="151" t="s">
        <v>1176</v>
      </c>
      <c r="G913" s="148"/>
    </row>
    <row r="914" ht="15.75" customHeight="1">
      <c r="A914" s="148"/>
      <c r="B914" s="132" t="s">
        <v>322</v>
      </c>
      <c r="C914" s="133">
        <v>1896726.0</v>
      </c>
      <c r="D914" s="149" t="s">
        <v>397</v>
      </c>
      <c r="E914" s="150" t="s">
        <v>398</v>
      </c>
      <c r="F914" s="151" t="s">
        <v>1176</v>
      </c>
      <c r="G914" s="148"/>
    </row>
    <row r="915" ht="15.75" customHeight="1">
      <c r="A915" s="148"/>
      <c r="B915" s="132" t="s">
        <v>322</v>
      </c>
      <c r="C915" s="133">
        <v>1896727.0</v>
      </c>
      <c r="D915" s="149" t="s">
        <v>397</v>
      </c>
      <c r="E915" s="150" t="s">
        <v>398</v>
      </c>
      <c r="F915" s="151" t="s">
        <v>1176</v>
      </c>
      <c r="G915" s="148"/>
    </row>
    <row r="916" ht="15.75" customHeight="1">
      <c r="A916" s="148"/>
      <c r="B916" s="132" t="s">
        <v>322</v>
      </c>
      <c r="C916" s="133">
        <v>1896728.0</v>
      </c>
      <c r="D916" s="149" t="s">
        <v>397</v>
      </c>
      <c r="E916" s="150" t="s">
        <v>398</v>
      </c>
      <c r="F916" s="151" t="s">
        <v>1176</v>
      </c>
      <c r="G916" s="148"/>
    </row>
    <row r="917" ht="15.75" customHeight="1">
      <c r="A917" s="148"/>
      <c r="B917" s="132" t="s">
        <v>322</v>
      </c>
      <c r="C917" s="133">
        <v>1896729.0</v>
      </c>
      <c r="D917" s="149" t="s">
        <v>397</v>
      </c>
      <c r="E917" s="150" t="s">
        <v>398</v>
      </c>
      <c r="F917" s="151" t="s">
        <v>1176</v>
      </c>
      <c r="G917" s="148"/>
    </row>
    <row r="918" ht="15.75" customHeight="1">
      <c r="A918" s="148"/>
      <c r="B918" s="132" t="s">
        <v>322</v>
      </c>
      <c r="C918" s="133">
        <v>1896730.0</v>
      </c>
      <c r="D918" s="149" t="s">
        <v>397</v>
      </c>
      <c r="E918" s="150" t="s">
        <v>398</v>
      </c>
      <c r="F918" s="151" t="s">
        <v>1176</v>
      </c>
      <c r="G918" s="148"/>
    </row>
    <row r="919" ht="15.75" customHeight="1">
      <c r="A919" s="148"/>
      <c r="B919" s="132" t="s">
        <v>322</v>
      </c>
      <c r="C919" s="133">
        <v>1896731.0</v>
      </c>
      <c r="D919" s="149" t="s">
        <v>397</v>
      </c>
      <c r="E919" s="150" t="s">
        <v>398</v>
      </c>
      <c r="F919" s="151" t="s">
        <v>1176</v>
      </c>
      <c r="G919" s="148"/>
    </row>
    <row r="920" ht="15.75" customHeight="1">
      <c r="A920" s="148"/>
      <c r="B920" s="132" t="s">
        <v>322</v>
      </c>
      <c r="C920" s="133">
        <v>1896732.0</v>
      </c>
      <c r="D920" s="149" t="s">
        <v>397</v>
      </c>
      <c r="E920" s="150" t="s">
        <v>398</v>
      </c>
      <c r="F920" s="151" t="s">
        <v>1176</v>
      </c>
      <c r="G920" s="148"/>
    </row>
    <row r="921" ht="15.75" customHeight="1">
      <c r="A921" s="148"/>
      <c r="B921" s="132" t="s">
        <v>322</v>
      </c>
      <c r="C921" s="133">
        <v>1896733.0</v>
      </c>
      <c r="D921" s="149" t="s">
        <v>397</v>
      </c>
      <c r="E921" s="150" t="s">
        <v>398</v>
      </c>
      <c r="F921" s="151" t="s">
        <v>1176</v>
      </c>
      <c r="G921" s="148"/>
    </row>
    <row r="922" ht="15.75" customHeight="1">
      <c r="A922" s="148"/>
      <c r="B922" s="132" t="s">
        <v>322</v>
      </c>
      <c r="C922" s="133">
        <v>1896734.0</v>
      </c>
      <c r="D922" s="149" t="s">
        <v>397</v>
      </c>
      <c r="E922" s="150" t="s">
        <v>398</v>
      </c>
      <c r="F922" s="151" t="s">
        <v>1176</v>
      </c>
      <c r="G922" s="148"/>
    </row>
    <row r="923" ht="15.75" customHeight="1">
      <c r="A923" s="148"/>
      <c r="B923" s="132" t="s">
        <v>322</v>
      </c>
      <c r="C923" s="133">
        <v>1896735.0</v>
      </c>
      <c r="D923" s="149" t="s">
        <v>397</v>
      </c>
      <c r="E923" s="150" t="s">
        <v>398</v>
      </c>
      <c r="F923" s="151" t="s">
        <v>1176</v>
      </c>
      <c r="G923" s="148"/>
    </row>
    <row r="924" ht="15.75" customHeight="1">
      <c r="A924" s="148"/>
      <c r="B924" s="132" t="s">
        <v>322</v>
      </c>
      <c r="C924" s="133">
        <v>1896736.0</v>
      </c>
      <c r="D924" s="149" t="s">
        <v>397</v>
      </c>
      <c r="E924" s="150" t="s">
        <v>398</v>
      </c>
      <c r="F924" s="151" t="s">
        <v>1176</v>
      </c>
      <c r="G924" s="148"/>
    </row>
    <row r="925" ht="15.75" customHeight="1">
      <c r="A925" s="148"/>
      <c r="B925" s="132" t="s">
        <v>322</v>
      </c>
      <c r="C925" s="133">
        <v>1896737.0</v>
      </c>
      <c r="D925" s="149" t="s">
        <v>397</v>
      </c>
      <c r="E925" s="150" t="s">
        <v>398</v>
      </c>
      <c r="F925" s="151" t="s">
        <v>1176</v>
      </c>
      <c r="G925" s="148"/>
    </row>
    <row r="926" ht="15.75" customHeight="1">
      <c r="A926" s="148"/>
      <c r="B926" s="132" t="s">
        <v>322</v>
      </c>
      <c r="C926" s="133">
        <v>1896738.0</v>
      </c>
      <c r="D926" s="149" t="s">
        <v>397</v>
      </c>
      <c r="E926" s="150" t="s">
        <v>398</v>
      </c>
      <c r="F926" s="151" t="s">
        <v>1176</v>
      </c>
      <c r="G926" s="148"/>
    </row>
    <row r="927" ht="15.75" customHeight="1">
      <c r="A927" s="148"/>
      <c r="B927" s="132" t="s">
        <v>322</v>
      </c>
      <c r="C927" s="133">
        <v>1896739.0</v>
      </c>
      <c r="D927" s="149" t="s">
        <v>397</v>
      </c>
      <c r="E927" s="150" t="s">
        <v>398</v>
      </c>
      <c r="F927" s="151" t="s">
        <v>1176</v>
      </c>
      <c r="G927" s="148"/>
    </row>
    <row r="928" ht="15.75" customHeight="1">
      <c r="A928" s="148"/>
      <c r="B928" s="132" t="s">
        <v>322</v>
      </c>
      <c r="C928" s="133">
        <v>1896740.0</v>
      </c>
      <c r="D928" s="149" t="s">
        <v>397</v>
      </c>
      <c r="E928" s="150" t="s">
        <v>398</v>
      </c>
      <c r="F928" s="151" t="s">
        <v>1176</v>
      </c>
      <c r="G928" s="148"/>
    </row>
    <row r="929" ht="15.75" customHeight="1">
      <c r="A929" s="148"/>
      <c r="B929" s="132" t="s">
        <v>322</v>
      </c>
      <c r="C929" s="133">
        <v>1896741.0</v>
      </c>
      <c r="D929" s="149" t="s">
        <v>397</v>
      </c>
      <c r="E929" s="150" t="s">
        <v>398</v>
      </c>
      <c r="F929" s="151" t="s">
        <v>1176</v>
      </c>
      <c r="G929" s="148"/>
    </row>
    <row r="930" ht="15.75" customHeight="1">
      <c r="A930" s="148"/>
      <c r="B930" s="132" t="s">
        <v>322</v>
      </c>
      <c r="C930" s="133">
        <v>1896742.0</v>
      </c>
      <c r="D930" s="149" t="s">
        <v>397</v>
      </c>
      <c r="E930" s="150" t="s">
        <v>398</v>
      </c>
      <c r="F930" s="151" t="s">
        <v>1176</v>
      </c>
      <c r="G930" s="148"/>
    </row>
    <row r="931" ht="15.75" customHeight="1">
      <c r="A931" s="148"/>
      <c r="B931" s="132" t="s">
        <v>322</v>
      </c>
      <c r="C931" s="133">
        <v>1896743.0</v>
      </c>
      <c r="D931" s="149" t="s">
        <v>397</v>
      </c>
      <c r="E931" s="150" t="s">
        <v>398</v>
      </c>
      <c r="F931" s="151" t="s">
        <v>1176</v>
      </c>
      <c r="G931" s="148"/>
    </row>
    <row r="932" ht="15.75" customHeight="1">
      <c r="A932" s="148"/>
      <c r="B932" s="132" t="s">
        <v>322</v>
      </c>
      <c r="C932" s="133">
        <v>1896744.0</v>
      </c>
      <c r="D932" s="149" t="s">
        <v>397</v>
      </c>
      <c r="E932" s="150" t="s">
        <v>398</v>
      </c>
      <c r="F932" s="151" t="s">
        <v>1176</v>
      </c>
      <c r="G932" s="148"/>
    </row>
    <row r="933" ht="15.75" customHeight="1">
      <c r="A933" s="148"/>
      <c r="B933" s="132" t="s">
        <v>322</v>
      </c>
      <c r="C933" s="133">
        <v>1896745.0</v>
      </c>
      <c r="D933" s="149" t="s">
        <v>397</v>
      </c>
      <c r="E933" s="150" t="s">
        <v>398</v>
      </c>
      <c r="F933" s="151" t="s">
        <v>1176</v>
      </c>
      <c r="G933" s="148"/>
    </row>
    <row r="934" ht="15.75" customHeight="1">
      <c r="A934" s="148"/>
      <c r="B934" s="132" t="s">
        <v>322</v>
      </c>
      <c r="C934" s="133">
        <v>1896746.0</v>
      </c>
      <c r="D934" s="149" t="s">
        <v>397</v>
      </c>
      <c r="E934" s="150" t="s">
        <v>398</v>
      </c>
      <c r="F934" s="151" t="s">
        <v>1176</v>
      </c>
      <c r="G934" s="148"/>
    </row>
    <row r="935" ht="15.75" customHeight="1">
      <c r="A935" s="148"/>
      <c r="B935" s="132" t="s">
        <v>322</v>
      </c>
      <c r="C935" s="133">
        <v>1896747.0</v>
      </c>
      <c r="D935" s="149" t="s">
        <v>397</v>
      </c>
      <c r="E935" s="150" t="s">
        <v>398</v>
      </c>
      <c r="F935" s="151" t="s">
        <v>1176</v>
      </c>
      <c r="G935" s="148"/>
    </row>
    <row r="936" ht="15.75" customHeight="1">
      <c r="A936" s="148"/>
      <c r="B936" s="132" t="s">
        <v>322</v>
      </c>
      <c r="C936" s="133">
        <v>1896748.0</v>
      </c>
      <c r="D936" s="149" t="s">
        <v>397</v>
      </c>
      <c r="E936" s="150" t="s">
        <v>398</v>
      </c>
      <c r="F936" s="151" t="s">
        <v>1176</v>
      </c>
      <c r="G936" s="148"/>
    </row>
    <row r="937" ht="15.75" customHeight="1">
      <c r="A937" s="148"/>
      <c r="B937" s="132" t="s">
        <v>322</v>
      </c>
      <c r="C937" s="133">
        <v>1896749.0</v>
      </c>
      <c r="D937" s="149" t="s">
        <v>397</v>
      </c>
      <c r="E937" s="150" t="s">
        <v>398</v>
      </c>
      <c r="F937" s="151" t="s">
        <v>1176</v>
      </c>
      <c r="G937" s="148"/>
    </row>
    <row r="938" ht="15.75" customHeight="1">
      <c r="A938" s="148"/>
      <c r="B938" s="132" t="s">
        <v>322</v>
      </c>
      <c r="C938" s="133">
        <v>1896750.0</v>
      </c>
      <c r="D938" s="149" t="s">
        <v>397</v>
      </c>
      <c r="E938" s="150" t="s">
        <v>398</v>
      </c>
      <c r="F938" s="151" t="s">
        <v>1176</v>
      </c>
      <c r="G938" s="148"/>
    </row>
    <row r="939" ht="15.75" customHeight="1">
      <c r="A939" s="148"/>
      <c r="B939" s="132" t="s">
        <v>322</v>
      </c>
      <c r="C939" s="133">
        <v>1896751.0</v>
      </c>
      <c r="D939" s="149" t="s">
        <v>397</v>
      </c>
      <c r="E939" s="150" t="s">
        <v>398</v>
      </c>
      <c r="F939" s="151" t="s">
        <v>1176</v>
      </c>
      <c r="G939" s="148"/>
    </row>
    <row r="940" ht="15.75" customHeight="1">
      <c r="A940" s="148"/>
      <c r="B940" s="132" t="s">
        <v>322</v>
      </c>
      <c r="C940" s="133">
        <v>1896752.0</v>
      </c>
      <c r="D940" s="149" t="s">
        <v>397</v>
      </c>
      <c r="E940" s="150" t="s">
        <v>398</v>
      </c>
      <c r="F940" s="151" t="s">
        <v>1176</v>
      </c>
      <c r="G940" s="148"/>
    </row>
    <row r="941" ht="15.75" customHeight="1">
      <c r="A941" s="148"/>
      <c r="B941" s="132" t="s">
        <v>322</v>
      </c>
      <c r="C941" s="133">
        <v>1896753.0</v>
      </c>
      <c r="D941" s="149" t="s">
        <v>397</v>
      </c>
      <c r="E941" s="150" t="s">
        <v>398</v>
      </c>
      <c r="F941" s="151" t="s">
        <v>1176</v>
      </c>
      <c r="G941" s="148"/>
    </row>
    <row r="942" ht="15.75" customHeight="1">
      <c r="A942" s="148"/>
      <c r="B942" s="132" t="s">
        <v>322</v>
      </c>
      <c r="C942" s="133">
        <v>1896754.0</v>
      </c>
      <c r="D942" s="149" t="s">
        <v>397</v>
      </c>
      <c r="E942" s="150" t="s">
        <v>398</v>
      </c>
      <c r="F942" s="151" t="s">
        <v>1176</v>
      </c>
      <c r="G942" s="148"/>
    </row>
    <row r="943" ht="15.75" customHeight="1">
      <c r="A943" s="148"/>
      <c r="B943" s="132" t="s">
        <v>322</v>
      </c>
      <c r="C943" s="133">
        <v>1896755.0</v>
      </c>
      <c r="D943" s="149" t="s">
        <v>397</v>
      </c>
      <c r="E943" s="150" t="s">
        <v>398</v>
      </c>
      <c r="F943" s="151" t="s">
        <v>1176</v>
      </c>
      <c r="G943" s="148"/>
    </row>
    <row r="944" ht="15.75" customHeight="1">
      <c r="A944" s="148"/>
      <c r="B944" s="132" t="s">
        <v>322</v>
      </c>
      <c r="C944" s="133">
        <v>1896756.0</v>
      </c>
      <c r="D944" s="149" t="s">
        <v>397</v>
      </c>
      <c r="E944" s="150" t="s">
        <v>398</v>
      </c>
      <c r="F944" s="151" t="s">
        <v>1176</v>
      </c>
      <c r="G944" s="148"/>
    </row>
    <row r="945" ht="15.75" customHeight="1">
      <c r="A945" s="148"/>
      <c r="B945" s="132" t="s">
        <v>322</v>
      </c>
      <c r="C945" s="133">
        <v>1896757.0</v>
      </c>
      <c r="D945" s="149" t="s">
        <v>397</v>
      </c>
      <c r="E945" s="150" t="s">
        <v>398</v>
      </c>
      <c r="F945" s="151" t="s">
        <v>1176</v>
      </c>
      <c r="G945" s="148"/>
    </row>
    <row r="946" ht="15.75" customHeight="1">
      <c r="A946" s="148"/>
      <c r="B946" s="132" t="s">
        <v>322</v>
      </c>
      <c r="C946" s="133">
        <v>1896758.0</v>
      </c>
      <c r="D946" s="149" t="s">
        <v>397</v>
      </c>
      <c r="E946" s="150" t="s">
        <v>398</v>
      </c>
      <c r="F946" s="151" t="s">
        <v>1176</v>
      </c>
      <c r="G946" s="148"/>
    </row>
    <row r="947" ht="15.75" customHeight="1">
      <c r="A947" s="148"/>
      <c r="B947" s="132" t="s">
        <v>322</v>
      </c>
      <c r="C947" s="133">
        <v>1896759.0</v>
      </c>
      <c r="D947" s="149" t="s">
        <v>397</v>
      </c>
      <c r="E947" s="150" t="s">
        <v>398</v>
      </c>
      <c r="F947" s="151" t="s">
        <v>1176</v>
      </c>
      <c r="G947" s="148"/>
    </row>
    <row r="948" ht="15.75" customHeight="1">
      <c r="A948" s="148"/>
      <c r="B948" s="132" t="s">
        <v>322</v>
      </c>
      <c r="C948" s="133">
        <v>1896760.0</v>
      </c>
      <c r="D948" s="149" t="s">
        <v>397</v>
      </c>
      <c r="E948" s="150" t="s">
        <v>398</v>
      </c>
      <c r="F948" s="151" t="s">
        <v>1176</v>
      </c>
      <c r="G948" s="148"/>
    </row>
    <row r="949" ht="15.75" customHeight="1">
      <c r="A949" s="148"/>
      <c r="B949" s="132" t="s">
        <v>322</v>
      </c>
      <c r="C949" s="133">
        <v>1896761.0</v>
      </c>
      <c r="D949" s="149" t="s">
        <v>397</v>
      </c>
      <c r="E949" s="150" t="s">
        <v>398</v>
      </c>
      <c r="F949" s="151" t="s">
        <v>1176</v>
      </c>
      <c r="G949" s="148"/>
    </row>
    <row r="950" ht="15.75" customHeight="1">
      <c r="A950" s="148"/>
      <c r="B950" s="132" t="s">
        <v>322</v>
      </c>
      <c r="C950" s="133">
        <v>1896762.0</v>
      </c>
      <c r="D950" s="149" t="s">
        <v>397</v>
      </c>
      <c r="E950" s="150" t="s">
        <v>398</v>
      </c>
      <c r="F950" s="151" t="s">
        <v>1176</v>
      </c>
      <c r="G950" s="148"/>
    </row>
    <row r="951" ht="15.75" customHeight="1">
      <c r="A951" s="148"/>
      <c r="B951" s="132" t="s">
        <v>322</v>
      </c>
      <c r="C951" s="133">
        <v>1896763.0</v>
      </c>
      <c r="D951" s="149" t="s">
        <v>397</v>
      </c>
      <c r="E951" s="150" t="s">
        <v>398</v>
      </c>
      <c r="F951" s="151" t="s">
        <v>1176</v>
      </c>
      <c r="G951" s="148"/>
    </row>
    <row r="952" ht="15.75" customHeight="1">
      <c r="A952" s="148"/>
      <c r="B952" s="132" t="s">
        <v>322</v>
      </c>
      <c r="C952" s="133">
        <v>1896764.0</v>
      </c>
      <c r="D952" s="149" t="s">
        <v>397</v>
      </c>
      <c r="E952" s="150" t="s">
        <v>398</v>
      </c>
      <c r="F952" s="151" t="s">
        <v>1176</v>
      </c>
      <c r="G952" s="148"/>
    </row>
    <row r="953" ht="15.75" customHeight="1">
      <c r="A953" s="148"/>
      <c r="B953" s="132" t="s">
        <v>322</v>
      </c>
      <c r="C953" s="133">
        <v>1896765.0</v>
      </c>
      <c r="D953" s="149" t="s">
        <v>397</v>
      </c>
      <c r="E953" s="150" t="s">
        <v>398</v>
      </c>
      <c r="F953" s="151" t="s">
        <v>1176</v>
      </c>
      <c r="G953" s="148"/>
    </row>
    <row r="954" ht="15.75" customHeight="1">
      <c r="A954" s="148"/>
      <c r="B954" s="132" t="s">
        <v>322</v>
      </c>
      <c r="C954" s="133">
        <v>1896766.0</v>
      </c>
      <c r="D954" s="149" t="s">
        <v>397</v>
      </c>
      <c r="E954" s="150" t="s">
        <v>398</v>
      </c>
      <c r="F954" s="151" t="s">
        <v>1176</v>
      </c>
      <c r="G954" s="148"/>
    </row>
    <row r="955" ht="15.75" customHeight="1">
      <c r="A955" s="148"/>
      <c r="B955" s="132" t="s">
        <v>322</v>
      </c>
      <c r="C955" s="133">
        <v>1896767.0</v>
      </c>
      <c r="D955" s="149" t="s">
        <v>397</v>
      </c>
      <c r="E955" s="150" t="s">
        <v>398</v>
      </c>
      <c r="F955" s="151" t="s">
        <v>1176</v>
      </c>
      <c r="G955" s="148"/>
    </row>
    <row r="956" ht="15.75" customHeight="1">
      <c r="A956" s="148"/>
      <c r="B956" s="132" t="s">
        <v>322</v>
      </c>
      <c r="C956" s="133">
        <v>1896768.0</v>
      </c>
      <c r="D956" s="149" t="s">
        <v>397</v>
      </c>
      <c r="E956" s="150" t="s">
        <v>398</v>
      </c>
      <c r="F956" s="151" t="s">
        <v>1176</v>
      </c>
      <c r="G956" s="148"/>
    </row>
    <row r="957" ht="15.75" customHeight="1">
      <c r="A957" s="148"/>
      <c r="B957" s="132" t="s">
        <v>322</v>
      </c>
      <c r="C957" s="133">
        <v>1896769.0</v>
      </c>
      <c r="D957" s="149" t="s">
        <v>397</v>
      </c>
      <c r="E957" s="150" t="s">
        <v>398</v>
      </c>
      <c r="F957" s="151" t="s">
        <v>1176</v>
      </c>
      <c r="G957" s="148"/>
    </row>
    <row r="958" ht="15.75" customHeight="1">
      <c r="A958" s="148"/>
      <c r="B958" s="132" t="s">
        <v>322</v>
      </c>
      <c r="C958" s="133">
        <v>1896770.0</v>
      </c>
      <c r="D958" s="149" t="s">
        <v>397</v>
      </c>
      <c r="E958" s="150" t="s">
        <v>398</v>
      </c>
      <c r="F958" s="151" t="s">
        <v>1176</v>
      </c>
      <c r="G958" s="148"/>
    </row>
    <row r="959" ht="15.75" customHeight="1">
      <c r="A959" s="148"/>
      <c r="B959" s="132" t="s">
        <v>322</v>
      </c>
      <c r="C959" s="133">
        <v>1896771.0</v>
      </c>
      <c r="D959" s="149" t="s">
        <v>397</v>
      </c>
      <c r="E959" s="150" t="s">
        <v>398</v>
      </c>
      <c r="F959" s="151" t="s">
        <v>1176</v>
      </c>
      <c r="G959" s="148"/>
    </row>
    <row r="960" ht="15.75" customHeight="1">
      <c r="A960" s="148"/>
      <c r="B960" s="132" t="s">
        <v>322</v>
      </c>
      <c r="C960" s="133">
        <v>1896772.0</v>
      </c>
      <c r="D960" s="149" t="s">
        <v>397</v>
      </c>
      <c r="E960" s="150" t="s">
        <v>398</v>
      </c>
      <c r="F960" s="151" t="s">
        <v>1176</v>
      </c>
      <c r="G960" s="148"/>
    </row>
    <row r="961" ht="15.75" customHeight="1">
      <c r="A961" s="148"/>
      <c r="B961" s="132" t="s">
        <v>322</v>
      </c>
      <c r="C961" s="133">
        <v>1896773.0</v>
      </c>
      <c r="D961" s="149" t="s">
        <v>397</v>
      </c>
      <c r="E961" s="150" t="s">
        <v>398</v>
      </c>
      <c r="F961" s="151" t="s">
        <v>1176</v>
      </c>
      <c r="G961" s="148"/>
    </row>
    <row r="962" ht="15.75" customHeight="1">
      <c r="A962" s="148"/>
      <c r="B962" s="132" t="s">
        <v>322</v>
      </c>
      <c r="C962" s="133">
        <v>1896774.0</v>
      </c>
      <c r="D962" s="149" t="s">
        <v>397</v>
      </c>
      <c r="E962" s="150" t="s">
        <v>398</v>
      </c>
      <c r="F962" s="151" t="s">
        <v>1176</v>
      </c>
      <c r="G962" s="148"/>
    </row>
    <row r="963" ht="15.75" customHeight="1">
      <c r="A963" s="148"/>
      <c r="B963" s="132" t="s">
        <v>322</v>
      </c>
      <c r="C963" s="133">
        <v>1896775.0</v>
      </c>
      <c r="D963" s="149" t="s">
        <v>397</v>
      </c>
      <c r="E963" s="150" t="s">
        <v>398</v>
      </c>
      <c r="F963" s="151" t="s">
        <v>1176</v>
      </c>
      <c r="G963" s="148"/>
    </row>
    <row r="964" ht="15.75" customHeight="1">
      <c r="A964" s="148"/>
      <c r="B964" s="132" t="s">
        <v>322</v>
      </c>
      <c r="C964" s="133">
        <v>1896776.0</v>
      </c>
      <c r="D964" s="149" t="s">
        <v>397</v>
      </c>
      <c r="E964" s="150" t="s">
        <v>398</v>
      </c>
      <c r="F964" s="151" t="s">
        <v>1176</v>
      </c>
      <c r="G964" s="148"/>
    </row>
    <row r="965" ht="15.75" customHeight="1">
      <c r="A965" s="148"/>
      <c r="B965" s="132" t="s">
        <v>322</v>
      </c>
      <c r="C965" s="133">
        <v>1896777.0</v>
      </c>
      <c r="D965" s="149" t="s">
        <v>397</v>
      </c>
      <c r="E965" s="150" t="s">
        <v>398</v>
      </c>
      <c r="F965" s="151" t="s">
        <v>1176</v>
      </c>
      <c r="G965" s="148"/>
    </row>
    <row r="966" ht="15.75" customHeight="1">
      <c r="A966" s="148"/>
      <c r="B966" s="132" t="s">
        <v>322</v>
      </c>
      <c r="C966" s="133">
        <v>1896778.0</v>
      </c>
      <c r="D966" s="149" t="s">
        <v>397</v>
      </c>
      <c r="E966" s="150" t="s">
        <v>398</v>
      </c>
      <c r="F966" s="151" t="s">
        <v>1176</v>
      </c>
      <c r="G966" s="148"/>
    </row>
    <row r="967" ht="15.75" customHeight="1">
      <c r="A967" s="148"/>
      <c r="B967" s="132" t="s">
        <v>322</v>
      </c>
      <c r="C967" s="133">
        <v>1896779.0</v>
      </c>
      <c r="D967" s="149" t="s">
        <v>397</v>
      </c>
      <c r="E967" s="150" t="s">
        <v>398</v>
      </c>
      <c r="F967" s="151" t="s">
        <v>1176</v>
      </c>
      <c r="G967" s="148"/>
    </row>
    <row r="968" ht="15.75" customHeight="1">
      <c r="A968" s="148"/>
      <c r="B968" s="132" t="s">
        <v>322</v>
      </c>
      <c r="C968" s="133">
        <v>1896780.0</v>
      </c>
      <c r="D968" s="149" t="s">
        <v>397</v>
      </c>
      <c r="E968" s="150" t="s">
        <v>398</v>
      </c>
      <c r="F968" s="151" t="s">
        <v>1176</v>
      </c>
      <c r="G968" s="148"/>
    </row>
    <row r="969" ht="15.75" customHeight="1">
      <c r="A969" s="148"/>
      <c r="B969" s="132" t="s">
        <v>322</v>
      </c>
      <c r="C969" s="133">
        <v>1896781.0</v>
      </c>
      <c r="D969" s="149" t="s">
        <v>397</v>
      </c>
      <c r="E969" s="150" t="s">
        <v>398</v>
      </c>
      <c r="F969" s="151" t="s">
        <v>1176</v>
      </c>
      <c r="G969" s="148"/>
    </row>
    <row r="970" ht="15.75" customHeight="1">
      <c r="A970" s="148"/>
      <c r="B970" s="132" t="s">
        <v>322</v>
      </c>
      <c r="C970" s="133">
        <v>1896782.0</v>
      </c>
      <c r="D970" s="149" t="s">
        <v>397</v>
      </c>
      <c r="E970" s="150" t="s">
        <v>398</v>
      </c>
      <c r="F970" s="151" t="s">
        <v>1176</v>
      </c>
      <c r="G970" s="148"/>
    </row>
    <row r="971" ht="15.75" customHeight="1">
      <c r="A971" s="148"/>
      <c r="B971" s="132" t="s">
        <v>322</v>
      </c>
      <c r="C971" s="133">
        <v>1896783.0</v>
      </c>
      <c r="D971" s="149" t="s">
        <v>397</v>
      </c>
      <c r="E971" s="150" t="s">
        <v>398</v>
      </c>
      <c r="F971" s="151" t="s">
        <v>1176</v>
      </c>
      <c r="G971" s="148"/>
    </row>
    <row r="972" ht="15.75" customHeight="1">
      <c r="A972" s="148"/>
      <c r="B972" s="132" t="s">
        <v>322</v>
      </c>
      <c r="C972" s="133">
        <v>1896784.0</v>
      </c>
      <c r="D972" s="149" t="s">
        <v>397</v>
      </c>
      <c r="E972" s="150" t="s">
        <v>398</v>
      </c>
      <c r="F972" s="151" t="s">
        <v>1176</v>
      </c>
      <c r="G972" s="148"/>
    </row>
    <row r="973" ht="15.75" customHeight="1">
      <c r="A973" s="148"/>
      <c r="B973" s="132" t="s">
        <v>322</v>
      </c>
      <c r="C973" s="133">
        <v>1896785.0</v>
      </c>
      <c r="D973" s="149" t="s">
        <v>397</v>
      </c>
      <c r="E973" s="150" t="s">
        <v>398</v>
      </c>
      <c r="F973" s="151" t="s">
        <v>1176</v>
      </c>
      <c r="G973" s="148"/>
    </row>
    <row r="974" ht="15.75" customHeight="1">
      <c r="A974" s="148"/>
      <c r="B974" s="132" t="s">
        <v>322</v>
      </c>
      <c r="C974" s="133">
        <v>1896786.0</v>
      </c>
      <c r="D974" s="149" t="s">
        <v>397</v>
      </c>
      <c r="E974" s="150" t="s">
        <v>398</v>
      </c>
      <c r="F974" s="151" t="s">
        <v>1176</v>
      </c>
      <c r="G974" s="148"/>
    </row>
    <row r="975" ht="15.75" customHeight="1">
      <c r="A975" s="148"/>
      <c r="B975" s="132" t="s">
        <v>322</v>
      </c>
      <c r="C975" s="133">
        <v>1896787.0</v>
      </c>
      <c r="D975" s="149" t="s">
        <v>397</v>
      </c>
      <c r="E975" s="150" t="s">
        <v>398</v>
      </c>
      <c r="F975" s="151" t="s">
        <v>1176</v>
      </c>
      <c r="G975" s="148"/>
    </row>
    <row r="976" ht="15.75" customHeight="1">
      <c r="A976" s="148"/>
      <c r="B976" s="132" t="s">
        <v>322</v>
      </c>
      <c r="C976" s="133">
        <v>1896788.0</v>
      </c>
      <c r="D976" s="149" t="s">
        <v>397</v>
      </c>
      <c r="E976" s="150" t="s">
        <v>398</v>
      </c>
      <c r="F976" s="151" t="s">
        <v>1176</v>
      </c>
      <c r="G976" s="148"/>
    </row>
    <row r="977" ht="15.75" customHeight="1">
      <c r="A977" s="148"/>
      <c r="B977" s="132" t="s">
        <v>322</v>
      </c>
      <c r="C977" s="133">
        <v>1896789.0</v>
      </c>
      <c r="D977" s="149" t="s">
        <v>397</v>
      </c>
      <c r="E977" s="150" t="s">
        <v>398</v>
      </c>
      <c r="F977" s="151" t="s">
        <v>1176</v>
      </c>
      <c r="G977" s="148"/>
    </row>
    <row r="978" ht="15.75" customHeight="1">
      <c r="A978" s="148"/>
      <c r="B978" s="132" t="s">
        <v>322</v>
      </c>
      <c r="C978" s="133">
        <v>1896790.0</v>
      </c>
      <c r="D978" s="149" t="s">
        <v>397</v>
      </c>
      <c r="E978" s="150" t="s">
        <v>398</v>
      </c>
      <c r="F978" s="151" t="s">
        <v>1176</v>
      </c>
      <c r="G978" s="148"/>
    </row>
    <row r="979" ht="15.75" customHeight="1">
      <c r="A979" s="148"/>
      <c r="B979" s="132" t="s">
        <v>322</v>
      </c>
      <c r="C979" s="133">
        <v>1896791.0</v>
      </c>
      <c r="D979" s="149" t="s">
        <v>397</v>
      </c>
      <c r="E979" s="150" t="s">
        <v>398</v>
      </c>
      <c r="F979" s="151" t="s">
        <v>1176</v>
      </c>
      <c r="G979" s="148"/>
    </row>
    <row r="980" ht="15.75" customHeight="1">
      <c r="A980" s="148"/>
      <c r="B980" s="132" t="s">
        <v>322</v>
      </c>
      <c r="C980" s="133">
        <v>1896792.0</v>
      </c>
      <c r="D980" s="149" t="s">
        <v>397</v>
      </c>
      <c r="E980" s="150" t="s">
        <v>398</v>
      </c>
      <c r="F980" s="151" t="s">
        <v>1176</v>
      </c>
      <c r="G980" s="148"/>
    </row>
    <row r="981" ht="15.75" customHeight="1">
      <c r="A981" s="148"/>
      <c r="B981" s="132" t="s">
        <v>322</v>
      </c>
      <c r="C981" s="133">
        <v>1896793.0</v>
      </c>
      <c r="D981" s="149" t="s">
        <v>397</v>
      </c>
      <c r="E981" s="150" t="s">
        <v>398</v>
      </c>
      <c r="F981" s="151" t="s">
        <v>1176</v>
      </c>
      <c r="G981" s="148"/>
    </row>
    <row r="982" ht="15.75" customHeight="1">
      <c r="A982" s="148"/>
      <c r="B982" s="132" t="s">
        <v>322</v>
      </c>
      <c r="C982" s="133">
        <v>1896794.0</v>
      </c>
      <c r="D982" s="149" t="s">
        <v>397</v>
      </c>
      <c r="E982" s="150" t="s">
        <v>398</v>
      </c>
      <c r="F982" s="151" t="s">
        <v>1176</v>
      </c>
      <c r="G982" s="148"/>
    </row>
    <row r="983" ht="15.75" customHeight="1">
      <c r="A983" s="148"/>
      <c r="B983" s="132" t="s">
        <v>322</v>
      </c>
      <c r="C983" s="133">
        <v>1896795.0</v>
      </c>
      <c r="D983" s="149" t="s">
        <v>397</v>
      </c>
      <c r="E983" s="150" t="s">
        <v>398</v>
      </c>
      <c r="F983" s="151" t="s">
        <v>1176</v>
      </c>
      <c r="G983" s="148"/>
    </row>
    <row r="984" ht="15.75" customHeight="1">
      <c r="A984" s="148"/>
      <c r="B984" s="132" t="s">
        <v>322</v>
      </c>
      <c r="C984" s="133">
        <v>1896796.0</v>
      </c>
      <c r="D984" s="149" t="s">
        <v>397</v>
      </c>
      <c r="E984" s="150" t="s">
        <v>398</v>
      </c>
      <c r="F984" s="151" t="s">
        <v>1176</v>
      </c>
      <c r="G984" s="148"/>
    </row>
    <row r="985" ht="15.75" customHeight="1">
      <c r="A985" s="148"/>
      <c r="B985" s="132" t="s">
        <v>322</v>
      </c>
      <c r="C985" s="133">
        <v>1896797.0</v>
      </c>
      <c r="D985" s="149" t="s">
        <v>397</v>
      </c>
      <c r="E985" s="150" t="s">
        <v>398</v>
      </c>
      <c r="F985" s="151" t="s">
        <v>1176</v>
      </c>
      <c r="G985" s="148"/>
    </row>
    <row r="986" ht="15.75" customHeight="1">
      <c r="A986" s="148"/>
      <c r="B986" s="132" t="s">
        <v>322</v>
      </c>
      <c r="C986" s="133">
        <v>1896798.0</v>
      </c>
      <c r="D986" s="149" t="s">
        <v>397</v>
      </c>
      <c r="E986" s="150" t="s">
        <v>398</v>
      </c>
      <c r="F986" s="151" t="s">
        <v>1176</v>
      </c>
      <c r="G986" s="148"/>
    </row>
    <row r="987" ht="15.75" customHeight="1">
      <c r="A987" s="148"/>
      <c r="B987" s="132" t="s">
        <v>322</v>
      </c>
      <c r="C987" s="133">
        <v>1896799.0</v>
      </c>
      <c r="D987" s="149" t="s">
        <v>397</v>
      </c>
      <c r="E987" s="150" t="s">
        <v>398</v>
      </c>
      <c r="F987" s="151" t="s">
        <v>1176</v>
      </c>
      <c r="G987" s="148"/>
    </row>
    <row r="988" ht="15.75" customHeight="1">
      <c r="A988" s="148"/>
      <c r="B988" s="132" t="s">
        <v>322</v>
      </c>
      <c r="C988" s="133">
        <v>1896800.0</v>
      </c>
      <c r="D988" s="149" t="s">
        <v>397</v>
      </c>
      <c r="E988" s="150" t="s">
        <v>398</v>
      </c>
      <c r="F988" s="151" t="s">
        <v>1176</v>
      </c>
      <c r="G988" s="148"/>
    </row>
    <row r="989" ht="15.75" customHeight="1">
      <c r="A989" s="148"/>
      <c r="B989" s="132" t="s">
        <v>322</v>
      </c>
      <c r="C989" s="133">
        <v>1896801.0</v>
      </c>
      <c r="D989" s="149" t="s">
        <v>397</v>
      </c>
      <c r="E989" s="150" t="s">
        <v>398</v>
      </c>
      <c r="F989" s="151" t="s">
        <v>1176</v>
      </c>
      <c r="G989" s="148"/>
    </row>
    <row r="990" ht="15.75" customHeight="1">
      <c r="A990" s="148"/>
      <c r="B990" s="132" t="s">
        <v>322</v>
      </c>
      <c r="C990" s="133">
        <v>1896802.0</v>
      </c>
      <c r="D990" s="149" t="s">
        <v>397</v>
      </c>
      <c r="E990" s="150" t="s">
        <v>398</v>
      </c>
      <c r="F990" s="151" t="s">
        <v>1176</v>
      </c>
      <c r="G990" s="148"/>
    </row>
    <row r="991" ht="15.75" customHeight="1">
      <c r="A991" s="148"/>
      <c r="B991" s="132" t="s">
        <v>322</v>
      </c>
      <c r="C991" s="133">
        <v>1896803.0</v>
      </c>
      <c r="D991" s="149" t="s">
        <v>397</v>
      </c>
      <c r="E991" s="150" t="s">
        <v>398</v>
      </c>
      <c r="F991" s="151" t="s">
        <v>1176</v>
      </c>
      <c r="G991" s="148"/>
    </row>
    <row r="992" ht="15.75" customHeight="1">
      <c r="A992" s="148"/>
      <c r="B992" s="132" t="s">
        <v>322</v>
      </c>
      <c r="C992" s="133">
        <v>1896804.0</v>
      </c>
      <c r="D992" s="149" t="s">
        <v>397</v>
      </c>
      <c r="E992" s="150" t="s">
        <v>398</v>
      </c>
      <c r="F992" s="151" t="s">
        <v>1176</v>
      </c>
      <c r="G992" s="148"/>
    </row>
    <row r="993" ht="15.75" customHeight="1">
      <c r="A993" s="148"/>
      <c r="B993" s="132" t="s">
        <v>322</v>
      </c>
      <c r="C993" s="133">
        <v>1896805.0</v>
      </c>
      <c r="D993" s="149" t="s">
        <v>397</v>
      </c>
      <c r="E993" s="150" t="s">
        <v>398</v>
      </c>
      <c r="F993" s="151" t="s">
        <v>1176</v>
      </c>
      <c r="G993" s="148"/>
    </row>
    <row r="994" ht="15.75" customHeight="1">
      <c r="A994" s="148"/>
      <c r="B994" s="132" t="s">
        <v>322</v>
      </c>
      <c r="C994" s="133">
        <v>1896806.0</v>
      </c>
      <c r="D994" s="149" t="s">
        <v>397</v>
      </c>
      <c r="E994" s="150" t="s">
        <v>398</v>
      </c>
      <c r="F994" s="151" t="s">
        <v>1176</v>
      </c>
      <c r="G994" s="148"/>
    </row>
    <row r="995" ht="15.75" customHeight="1">
      <c r="A995" s="148"/>
      <c r="B995" s="132" t="s">
        <v>322</v>
      </c>
      <c r="C995" s="133">
        <v>1896807.0</v>
      </c>
      <c r="D995" s="149" t="s">
        <v>397</v>
      </c>
      <c r="E995" s="150" t="s">
        <v>398</v>
      </c>
      <c r="F995" s="151" t="s">
        <v>1176</v>
      </c>
      <c r="G995" s="148"/>
    </row>
    <row r="996" ht="15.75" customHeight="1">
      <c r="A996" s="148"/>
      <c r="B996" s="132" t="s">
        <v>322</v>
      </c>
      <c r="C996" s="133">
        <v>1896808.0</v>
      </c>
      <c r="D996" s="149" t="s">
        <v>397</v>
      </c>
      <c r="E996" s="150" t="s">
        <v>398</v>
      </c>
      <c r="F996" s="151" t="s">
        <v>1176</v>
      </c>
      <c r="G996" s="148"/>
    </row>
    <row r="997" ht="15.75" customHeight="1">
      <c r="A997" s="148"/>
      <c r="B997" s="132" t="s">
        <v>322</v>
      </c>
      <c r="C997" s="133">
        <v>1896809.0</v>
      </c>
      <c r="D997" s="149" t="s">
        <v>397</v>
      </c>
      <c r="E997" s="150" t="s">
        <v>398</v>
      </c>
      <c r="F997" s="151" t="s">
        <v>1176</v>
      </c>
      <c r="G997" s="148"/>
    </row>
    <row r="998" ht="15.75" customHeight="1">
      <c r="A998" s="148"/>
      <c r="B998" s="132" t="s">
        <v>322</v>
      </c>
      <c r="C998" s="133">
        <v>1896810.0</v>
      </c>
      <c r="D998" s="149" t="s">
        <v>397</v>
      </c>
      <c r="E998" s="150" t="s">
        <v>398</v>
      </c>
      <c r="F998" s="151" t="s">
        <v>1176</v>
      </c>
      <c r="G998" s="148"/>
    </row>
    <row r="999" ht="15.75" customHeight="1">
      <c r="A999" s="148"/>
      <c r="B999" s="132" t="s">
        <v>322</v>
      </c>
      <c r="C999" s="133">
        <v>1896811.0</v>
      </c>
      <c r="D999" s="149" t="s">
        <v>397</v>
      </c>
      <c r="E999" s="150" t="s">
        <v>398</v>
      </c>
      <c r="F999" s="151" t="s">
        <v>1176</v>
      </c>
      <c r="G999" s="148"/>
    </row>
    <row r="1000" ht="15.75" customHeight="1">
      <c r="A1000" s="148"/>
      <c r="B1000" s="132" t="s">
        <v>322</v>
      </c>
      <c r="C1000" s="133">
        <v>1896812.0</v>
      </c>
      <c r="D1000" s="149" t="s">
        <v>397</v>
      </c>
      <c r="E1000" s="150" t="s">
        <v>398</v>
      </c>
      <c r="F1000" s="151" t="s">
        <v>1176</v>
      </c>
      <c r="G1000" s="148"/>
    </row>
    <row r="1001" ht="15.75" customHeight="1">
      <c r="A1001" s="148"/>
      <c r="B1001" s="132" t="s">
        <v>322</v>
      </c>
      <c r="C1001" s="133">
        <v>1896813.0</v>
      </c>
      <c r="D1001" s="149" t="s">
        <v>397</v>
      </c>
      <c r="E1001" s="150" t="s">
        <v>398</v>
      </c>
      <c r="F1001" s="151" t="s">
        <v>1176</v>
      </c>
      <c r="G1001" s="148"/>
    </row>
    <row r="1002" ht="15.75" customHeight="1">
      <c r="A1002" s="148"/>
      <c r="B1002" s="132" t="s">
        <v>322</v>
      </c>
      <c r="C1002" s="133">
        <v>1896814.0</v>
      </c>
      <c r="D1002" s="149" t="s">
        <v>397</v>
      </c>
      <c r="E1002" s="150" t="s">
        <v>398</v>
      </c>
      <c r="F1002" s="151" t="s">
        <v>1176</v>
      </c>
      <c r="G1002" s="148"/>
    </row>
    <row r="1003" ht="15.75" customHeight="1">
      <c r="A1003" s="148"/>
      <c r="B1003" s="132" t="s">
        <v>322</v>
      </c>
      <c r="C1003" s="133">
        <v>1896815.0</v>
      </c>
      <c r="D1003" s="149" t="s">
        <v>397</v>
      </c>
      <c r="E1003" s="150" t="s">
        <v>398</v>
      </c>
      <c r="F1003" s="151" t="s">
        <v>1176</v>
      </c>
      <c r="G1003" s="148"/>
    </row>
    <row r="1004" ht="15.75" customHeight="1">
      <c r="A1004" s="148"/>
      <c r="B1004" s="132" t="s">
        <v>322</v>
      </c>
      <c r="C1004" s="133">
        <v>1896816.0</v>
      </c>
      <c r="D1004" s="149" t="s">
        <v>397</v>
      </c>
      <c r="E1004" s="150" t="s">
        <v>398</v>
      </c>
      <c r="F1004" s="151" t="s">
        <v>1176</v>
      </c>
      <c r="G1004" s="148"/>
    </row>
    <row r="1005" ht="15.75" customHeight="1">
      <c r="A1005" s="148"/>
      <c r="B1005" s="132" t="s">
        <v>322</v>
      </c>
      <c r="C1005" s="133">
        <v>1896817.0</v>
      </c>
      <c r="D1005" s="149" t="s">
        <v>397</v>
      </c>
      <c r="E1005" s="150" t="s">
        <v>398</v>
      </c>
      <c r="F1005" s="151" t="s">
        <v>1176</v>
      </c>
      <c r="G1005" s="148"/>
    </row>
    <row r="1006" ht="15.75" customHeight="1">
      <c r="A1006" s="148"/>
      <c r="B1006" s="132" t="s">
        <v>322</v>
      </c>
      <c r="C1006" s="133">
        <v>1896818.0</v>
      </c>
      <c r="D1006" s="149" t="s">
        <v>397</v>
      </c>
      <c r="E1006" s="150" t="s">
        <v>398</v>
      </c>
      <c r="F1006" s="151" t="s">
        <v>1176</v>
      </c>
      <c r="G1006" s="148"/>
    </row>
    <row r="1007" ht="15.75" customHeight="1">
      <c r="A1007" s="148"/>
      <c r="B1007" s="132" t="s">
        <v>322</v>
      </c>
      <c r="C1007" s="133">
        <v>1896819.0</v>
      </c>
      <c r="D1007" s="149" t="s">
        <v>397</v>
      </c>
      <c r="E1007" s="150" t="s">
        <v>398</v>
      </c>
      <c r="F1007" s="151" t="s">
        <v>1176</v>
      </c>
      <c r="G1007" s="148"/>
    </row>
    <row r="1008" ht="15.75" customHeight="1">
      <c r="A1008" s="148"/>
      <c r="B1008" s="132" t="s">
        <v>322</v>
      </c>
      <c r="C1008" s="133">
        <v>1896820.0</v>
      </c>
      <c r="D1008" s="149" t="s">
        <v>397</v>
      </c>
      <c r="E1008" s="150" t="s">
        <v>398</v>
      </c>
      <c r="F1008" s="151" t="s">
        <v>1176</v>
      </c>
      <c r="G1008" s="148"/>
    </row>
    <row r="1009" ht="15.75" customHeight="1">
      <c r="A1009" s="148"/>
      <c r="B1009" s="132" t="s">
        <v>322</v>
      </c>
      <c r="C1009" s="133">
        <v>1896821.0</v>
      </c>
      <c r="D1009" s="149" t="s">
        <v>397</v>
      </c>
      <c r="E1009" s="150" t="s">
        <v>398</v>
      </c>
      <c r="F1009" s="151" t="s">
        <v>1176</v>
      </c>
      <c r="G1009" s="148"/>
    </row>
    <row r="1010" ht="15.75" customHeight="1">
      <c r="A1010" s="148"/>
      <c r="B1010" s="132" t="s">
        <v>322</v>
      </c>
      <c r="C1010" s="133">
        <v>1896822.0</v>
      </c>
      <c r="D1010" s="149" t="s">
        <v>397</v>
      </c>
      <c r="E1010" s="150" t="s">
        <v>398</v>
      </c>
      <c r="F1010" s="151" t="s">
        <v>1176</v>
      </c>
      <c r="G1010" s="148"/>
    </row>
    <row r="1011" ht="15.75" customHeight="1">
      <c r="A1011" s="148"/>
      <c r="B1011" s="132" t="s">
        <v>322</v>
      </c>
      <c r="C1011" s="133">
        <v>1896823.0</v>
      </c>
      <c r="D1011" s="149" t="s">
        <v>397</v>
      </c>
      <c r="E1011" s="150" t="s">
        <v>398</v>
      </c>
      <c r="F1011" s="151" t="s">
        <v>1176</v>
      </c>
      <c r="G1011" s="148"/>
    </row>
    <row r="1012" ht="15.75" customHeight="1">
      <c r="A1012" s="148"/>
      <c r="B1012" s="132" t="s">
        <v>322</v>
      </c>
      <c r="C1012" s="133">
        <v>1896824.0</v>
      </c>
      <c r="D1012" s="149" t="s">
        <v>397</v>
      </c>
      <c r="E1012" s="150" t="s">
        <v>398</v>
      </c>
      <c r="F1012" s="151" t="s">
        <v>1176</v>
      </c>
      <c r="G1012" s="148"/>
    </row>
    <row r="1013" ht="15.75" customHeight="1">
      <c r="A1013" s="148"/>
      <c r="B1013" s="132" t="s">
        <v>322</v>
      </c>
      <c r="C1013" s="133">
        <v>1896825.0</v>
      </c>
      <c r="D1013" s="149" t="s">
        <v>397</v>
      </c>
      <c r="E1013" s="150" t="s">
        <v>398</v>
      </c>
      <c r="F1013" s="151" t="s">
        <v>1176</v>
      </c>
      <c r="G1013" s="148"/>
    </row>
    <row r="1014" ht="15.75" customHeight="1">
      <c r="A1014" s="148"/>
      <c r="B1014" s="132" t="s">
        <v>322</v>
      </c>
      <c r="C1014" s="133">
        <v>1896826.0</v>
      </c>
      <c r="D1014" s="149" t="s">
        <v>397</v>
      </c>
      <c r="E1014" s="150" t="s">
        <v>398</v>
      </c>
      <c r="F1014" s="151" t="s">
        <v>1176</v>
      </c>
      <c r="G1014" s="148"/>
    </row>
    <row r="1015" ht="15.75" customHeight="1">
      <c r="A1015" s="148"/>
      <c r="B1015" s="132" t="s">
        <v>322</v>
      </c>
      <c r="C1015" s="133">
        <v>1896827.0</v>
      </c>
      <c r="D1015" s="149" t="s">
        <v>397</v>
      </c>
      <c r="E1015" s="150" t="s">
        <v>398</v>
      </c>
      <c r="F1015" s="151" t="s">
        <v>1176</v>
      </c>
      <c r="G1015" s="148"/>
    </row>
    <row r="1016" ht="15.75" customHeight="1">
      <c r="A1016" s="148"/>
      <c r="B1016" s="132" t="s">
        <v>322</v>
      </c>
      <c r="C1016" s="133">
        <v>1896828.0</v>
      </c>
      <c r="D1016" s="149" t="s">
        <v>397</v>
      </c>
      <c r="E1016" s="150" t="s">
        <v>398</v>
      </c>
      <c r="F1016" s="151" t="s">
        <v>1176</v>
      </c>
      <c r="G1016" s="148"/>
    </row>
    <row r="1017" ht="15.75" customHeight="1">
      <c r="A1017" s="148"/>
      <c r="B1017" s="132" t="s">
        <v>322</v>
      </c>
      <c r="C1017" s="133">
        <v>1896829.0</v>
      </c>
      <c r="D1017" s="149" t="s">
        <v>397</v>
      </c>
      <c r="E1017" s="150" t="s">
        <v>398</v>
      </c>
      <c r="F1017" s="151" t="s">
        <v>1176</v>
      </c>
      <c r="G1017" s="148"/>
    </row>
    <row r="1018" ht="15.75" customHeight="1">
      <c r="A1018" s="148"/>
      <c r="B1018" s="132" t="s">
        <v>322</v>
      </c>
      <c r="C1018" s="133">
        <v>1896830.0</v>
      </c>
      <c r="D1018" s="149" t="s">
        <v>397</v>
      </c>
      <c r="E1018" s="150" t="s">
        <v>398</v>
      </c>
      <c r="F1018" s="151" t="s">
        <v>1176</v>
      </c>
      <c r="G1018" s="148"/>
    </row>
    <row r="1019" ht="15.75" customHeight="1">
      <c r="A1019" s="148"/>
      <c r="B1019" s="132" t="s">
        <v>322</v>
      </c>
      <c r="C1019" s="133">
        <v>1896831.0</v>
      </c>
      <c r="D1019" s="149" t="s">
        <v>397</v>
      </c>
      <c r="E1019" s="150" t="s">
        <v>398</v>
      </c>
      <c r="F1019" s="151" t="s">
        <v>1176</v>
      </c>
      <c r="G1019" s="148"/>
    </row>
    <row r="1020" ht="15.75" customHeight="1">
      <c r="A1020" s="148"/>
      <c r="B1020" s="132" t="s">
        <v>322</v>
      </c>
      <c r="C1020" s="133">
        <v>1896832.0</v>
      </c>
      <c r="D1020" s="149" t="s">
        <v>397</v>
      </c>
      <c r="E1020" s="150" t="s">
        <v>398</v>
      </c>
      <c r="F1020" s="151" t="s">
        <v>1176</v>
      </c>
      <c r="G1020" s="148"/>
    </row>
    <row r="1021" ht="15.75" customHeight="1">
      <c r="A1021" s="148"/>
      <c r="B1021" s="132" t="s">
        <v>322</v>
      </c>
      <c r="C1021" s="133">
        <v>1896833.0</v>
      </c>
      <c r="D1021" s="149" t="s">
        <v>397</v>
      </c>
      <c r="E1021" s="150" t="s">
        <v>398</v>
      </c>
      <c r="F1021" s="151" t="s">
        <v>1176</v>
      </c>
      <c r="G1021" s="148"/>
    </row>
    <row r="1022" ht="15.75" customHeight="1">
      <c r="A1022" s="148"/>
      <c r="B1022" s="132" t="s">
        <v>322</v>
      </c>
      <c r="C1022" s="133">
        <v>1896834.0</v>
      </c>
      <c r="D1022" s="149" t="s">
        <v>397</v>
      </c>
      <c r="E1022" s="150" t="s">
        <v>398</v>
      </c>
      <c r="F1022" s="151" t="s">
        <v>1176</v>
      </c>
      <c r="G1022" s="148"/>
    </row>
    <row r="1023" ht="15.75" customHeight="1">
      <c r="A1023" s="148"/>
      <c r="B1023" s="132" t="s">
        <v>322</v>
      </c>
      <c r="C1023" s="133">
        <v>1896835.0</v>
      </c>
      <c r="D1023" s="149" t="s">
        <v>397</v>
      </c>
      <c r="E1023" s="150" t="s">
        <v>398</v>
      </c>
      <c r="F1023" s="151" t="s">
        <v>1176</v>
      </c>
      <c r="G1023" s="148"/>
    </row>
    <row r="1024" ht="15.75" customHeight="1">
      <c r="A1024" s="148"/>
      <c r="B1024" s="132" t="s">
        <v>322</v>
      </c>
      <c r="C1024" s="133">
        <v>1896836.0</v>
      </c>
      <c r="D1024" s="149" t="s">
        <v>397</v>
      </c>
      <c r="E1024" s="150" t="s">
        <v>398</v>
      </c>
      <c r="F1024" s="151" t="s">
        <v>1176</v>
      </c>
      <c r="G1024" s="148"/>
    </row>
    <row r="1025" ht="15.75" customHeight="1">
      <c r="A1025" s="148"/>
      <c r="B1025" s="132" t="s">
        <v>322</v>
      </c>
      <c r="C1025" s="133">
        <v>1896837.0</v>
      </c>
      <c r="D1025" s="149" t="s">
        <v>397</v>
      </c>
      <c r="E1025" s="150" t="s">
        <v>398</v>
      </c>
      <c r="F1025" s="151" t="s">
        <v>1176</v>
      </c>
      <c r="G1025" s="148"/>
    </row>
    <row r="1026" ht="15.75" customHeight="1">
      <c r="A1026" s="148"/>
      <c r="B1026" s="132" t="s">
        <v>322</v>
      </c>
      <c r="C1026" s="133">
        <v>1896838.0</v>
      </c>
      <c r="D1026" s="149" t="s">
        <v>397</v>
      </c>
      <c r="E1026" s="150" t="s">
        <v>398</v>
      </c>
      <c r="F1026" s="151" t="s">
        <v>1176</v>
      </c>
      <c r="G1026" s="148"/>
    </row>
    <row r="1027" ht="15.75" customHeight="1">
      <c r="A1027" s="148"/>
      <c r="B1027" s="132" t="s">
        <v>322</v>
      </c>
      <c r="C1027" s="133">
        <v>1896839.0</v>
      </c>
      <c r="D1027" s="149" t="s">
        <v>397</v>
      </c>
      <c r="E1027" s="150" t="s">
        <v>398</v>
      </c>
      <c r="F1027" s="151" t="s">
        <v>1176</v>
      </c>
      <c r="G1027" s="148"/>
    </row>
    <row r="1028" ht="15.75" customHeight="1">
      <c r="A1028" s="148"/>
      <c r="B1028" s="132" t="s">
        <v>322</v>
      </c>
      <c r="C1028" s="133">
        <v>1896840.0</v>
      </c>
      <c r="D1028" s="149" t="s">
        <v>397</v>
      </c>
      <c r="E1028" s="150" t="s">
        <v>398</v>
      </c>
      <c r="F1028" s="151" t="s">
        <v>1176</v>
      </c>
      <c r="G1028" s="148"/>
    </row>
    <row r="1029" ht="15.75" customHeight="1">
      <c r="A1029" s="148"/>
      <c r="B1029" s="132" t="s">
        <v>322</v>
      </c>
      <c r="C1029" s="133">
        <v>1896841.0</v>
      </c>
      <c r="D1029" s="149" t="s">
        <v>397</v>
      </c>
      <c r="E1029" s="150" t="s">
        <v>398</v>
      </c>
      <c r="F1029" s="151" t="s">
        <v>1176</v>
      </c>
      <c r="G1029" s="148"/>
    </row>
    <row r="1030" ht="15.75" customHeight="1">
      <c r="A1030" s="148"/>
      <c r="B1030" s="132" t="s">
        <v>322</v>
      </c>
      <c r="C1030" s="133">
        <v>1896842.0</v>
      </c>
      <c r="D1030" s="149" t="s">
        <v>397</v>
      </c>
      <c r="E1030" s="150" t="s">
        <v>398</v>
      </c>
      <c r="F1030" s="151" t="s">
        <v>1176</v>
      </c>
      <c r="G1030" s="148"/>
    </row>
    <row r="1031" ht="15.75" customHeight="1">
      <c r="A1031" s="148"/>
      <c r="B1031" s="132" t="s">
        <v>322</v>
      </c>
      <c r="C1031" s="133">
        <v>1896843.0</v>
      </c>
      <c r="D1031" s="149" t="s">
        <v>397</v>
      </c>
      <c r="E1031" s="150" t="s">
        <v>398</v>
      </c>
      <c r="F1031" s="151" t="s">
        <v>1176</v>
      </c>
      <c r="G1031" s="148"/>
    </row>
    <row r="1032" ht="15.75" customHeight="1">
      <c r="A1032" s="148"/>
      <c r="B1032" s="132" t="s">
        <v>322</v>
      </c>
      <c r="C1032" s="133">
        <v>1896844.0</v>
      </c>
      <c r="D1032" s="149" t="s">
        <v>397</v>
      </c>
      <c r="E1032" s="150" t="s">
        <v>398</v>
      </c>
      <c r="F1032" s="151" t="s">
        <v>1176</v>
      </c>
      <c r="G1032" s="148"/>
    </row>
    <row r="1033" ht="15.75" customHeight="1">
      <c r="A1033" s="148"/>
      <c r="B1033" s="132" t="s">
        <v>322</v>
      </c>
      <c r="C1033" s="133">
        <v>1896845.0</v>
      </c>
      <c r="D1033" s="149" t="s">
        <v>397</v>
      </c>
      <c r="E1033" s="150" t="s">
        <v>398</v>
      </c>
      <c r="F1033" s="151" t="s">
        <v>1176</v>
      </c>
      <c r="G1033" s="148"/>
    </row>
    <row r="1034" ht="15.75" customHeight="1">
      <c r="A1034" s="148"/>
      <c r="B1034" s="132" t="s">
        <v>322</v>
      </c>
      <c r="C1034" s="133">
        <v>1896846.0</v>
      </c>
      <c r="D1034" s="149" t="s">
        <v>397</v>
      </c>
      <c r="E1034" s="150" t="s">
        <v>398</v>
      </c>
      <c r="F1034" s="151" t="s">
        <v>1176</v>
      </c>
      <c r="G1034" s="148"/>
    </row>
    <row r="1035" ht="15.75" customHeight="1">
      <c r="A1035" s="148"/>
      <c r="B1035" s="132" t="s">
        <v>322</v>
      </c>
      <c r="C1035" s="133">
        <v>1896847.0</v>
      </c>
      <c r="D1035" s="149" t="s">
        <v>397</v>
      </c>
      <c r="E1035" s="150" t="s">
        <v>398</v>
      </c>
      <c r="F1035" s="151" t="s">
        <v>1176</v>
      </c>
      <c r="G1035" s="148"/>
    </row>
    <row r="1036" ht="15.75" customHeight="1">
      <c r="A1036" s="148"/>
      <c r="B1036" s="132" t="s">
        <v>322</v>
      </c>
      <c r="C1036" s="133">
        <v>1896848.0</v>
      </c>
      <c r="D1036" s="149" t="s">
        <v>397</v>
      </c>
      <c r="E1036" s="150" t="s">
        <v>398</v>
      </c>
      <c r="F1036" s="151" t="s">
        <v>1176</v>
      </c>
      <c r="G1036" s="148"/>
    </row>
    <row r="1037" ht="15.75" customHeight="1">
      <c r="A1037" s="148"/>
      <c r="B1037" s="132" t="s">
        <v>322</v>
      </c>
      <c r="C1037" s="133">
        <v>1896849.0</v>
      </c>
      <c r="D1037" s="149" t="s">
        <v>397</v>
      </c>
      <c r="E1037" s="150" t="s">
        <v>398</v>
      </c>
      <c r="F1037" s="151" t="s">
        <v>1176</v>
      </c>
      <c r="G1037" s="148"/>
    </row>
    <row r="1038" ht="15.75" customHeight="1">
      <c r="A1038" s="148"/>
      <c r="B1038" s="132" t="s">
        <v>322</v>
      </c>
      <c r="C1038" s="133">
        <v>1896850.0</v>
      </c>
      <c r="D1038" s="149" t="s">
        <v>397</v>
      </c>
      <c r="E1038" s="150" t="s">
        <v>398</v>
      </c>
      <c r="F1038" s="151" t="s">
        <v>1176</v>
      </c>
      <c r="G1038" s="148"/>
    </row>
    <row r="1039" ht="15.75" customHeight="1">
      <c r="A1039" s="148"/>
      <c r="B1039" s="132" t="s">
        <v>322</v>
      </c>
      <c r="C1039" s="133">
        <v>1896851.0</v>
      </c>
      <c r="D1039" s="149" t="s">
        <v>397</v>
      </c>
      <c r="E1039" s="150" t="s">
        <v>398</v>
      </c>
      <c r="F1039" s="151" t="s">
        <v>1176</v>
      </c>
      <c r="G1039" s="148"/>
    </row>
    <row r="1040" ht="15.75" customHeight="1">
      <c r="A1040" s="148"/>
      <c r="B1040" s="132" t="s">
        <v>322</v>
      </c>
      <c r="C1040" s="133">
        <v>1896852.0</v>
      </c>
      <c r="D1040" s="149" t="s">
        <v>397</v>
      </c>
      <c r="E1040" s="150" t="s">
        <v>398</v>
      </c>
      <c r="F1040" s="151" t="s">
        <v>1176</v>
      </c>
      <c r="G1040" s="148"/>
    </row>
    <row r="1041" ht="15.75" customHeight="1">
      <c r="A1041" s="148"/>
      <c r="B1041" s="132" t="s">
        <v>322</v>
      </c>
      <c r="C1041" s="133">
        <v>1896853.0</v>
      </c>
      <c r="D1041" s="149" t="s">
        <v>397</v>
      </c>
      <c r="E1041" s="150" t="s">
        <v>398</v>
      </c>
      <c r="F1041" s="151" t="s">
        <v>1176</v>
      </c>
      <c r="G1041" s="148"/>
    </row>
    <row r="1042" ht="15.75" customHeight="1">
      <c r="A1042" s="148"/>
      <c r="B1042" s="132" t="s">
        <v>322</v>
      </c>
      <c r="C1042" s="133">
        <v>1896854.0</v>
      </c>
      <c r="D1042" s="149" t="s">
        <v>397</v>
      </c>
      <c r="E1042" s="150" t="s">
        <v>398</v>
      </c>
      <c r="F1042" s="151" t="s">
        <v>1176</v>
      </c>
      <c r="G1042" s="148"/>
    </row>
    <row r="1043" ht="15.75" customHeight="1">
      <c r="A1043" s="148"/>
      <c r="B1043" s="132" t="s">
        <v>322</v>
      </c>
      <c r="C1043" s="133">
        <v>1896855.0</v>
      </c>
      <c r="D1043" s="149" t="s">
        <v>397</v>
      </c>
      <c r="E1043" s="150" t="s">
        <v>398</v>
      </c>
      <c r="F1043" s="151" t="s">
        <v>1176</v>
      </c>
      <c r="G1043" s="148"/>
    </row>
    <row r="1044" ht="15.75" customHeight="1">
      <c r="A1044" s="148"/>
      <c r="B1044" s="132" t="s">
        <v>322</v>
      </c>
      <c r="C1044" s="133">
        <v>1896856.0</v>
      </c>
      <c r="D1044" s="149" t="s">
        <v>397</v>
      </c>
      <c r="E1044" s="150" t="s">
        <v>398</v>
      </c>
      <c r="F1044" s="151" t="s">
        <v>1176</v>
      </c>
      <c r="G1044" s="148"/>
    </row>
    <row r="1045" ht="15.75" customHeight="1">
      <c r="A1045" s="148"/>
      <c r="B1045" s="132" t="s">
        <v>322</v>
      </c>
      <c r="C1045" s="133">
        <v>1896857.0</v>
      </c>
      <c r="D1045" s="149" t="s">
        <v>397</v>
      </c>
      <c r="E1045" s="150" t="s">
        <v>398</v>
      </c>
      <c r="F1045" s="151" t="s">
        <v>1176</v>
      </c>
      <c r="G1045" s="148"/>
    </row>
    <row r="1046" ht="15.75" customHeight="1">
      <c r="A1046" s="148"/>
      <c r="B1046" s="132" t="s">
        <v>322</v>
      </c>
      <c r="C1046" s="133">
        <v>1896858.0</v>
      </c>
      <c r="D1046" s="149" t="s">
        <v>397</v>
      </c>
      <c r="E1046" s="150" t="s">
        <v>398</v>
      </c>
      <c r="F1046" s="151" t="s">
        <v>1176</v>
      </c>
      <c r="G1046" s="148"/>
    </row>
    <row r="1047" ht="15.75" customHeight="1">
      <c r="A1047" s="148"/>
      <c r="B1047" s="132" t="s">
        <v>322</v>
      </c>
      <c r="C1047" s="133">
        <v>1896859.0</v>
      </c>
      <c r="D1047" s="149" t="s">
        <v>397</v>
      </c>
      <c r="E1047" s="150" t="s">
        <v>398</v>
      </c>
      <c r="F1047" s="151" t="s">
        <v>1176</v>
      </c>
      <c r="G1047" s="148"/>
    </row>
    <row r="1048" ht="15.75" customHeight="1">
      <c r="A1048" s="148"/>
      <c r="B1048" s="132" t="s">
        <v>322</v>
      </c>
      <c r="C1048" s="133">
        <v>1896860.0</v>
      </c>
      <c r="D1048" s="149" t="s">
        <v>397</v>
      </c>
      <c r="E1048" s="150" t="s">
        <v>398</v>
      </c>
      <c r="F1048" s="151" t="s">
        <v>1176</v>
      </c>
      <c r="G1048" s="148"/>
    </row>
    <row r="1049" ht="15.75" customHeight="1">
      <c r="A1049" s="148"/>
      <c r="B1049" s="132" t="s">
        <v>322</v>
      </c>
      <c r="C1049" s="133">
        <v>1896861.0</v>
      </c>
      <c r="D1049" s="149" t="s">
        <v>397</v>
      </c>
      <c r="E1049" s="150" t="s">
        <v>398</v>
      </c>
      <c r="F1049" s="151" t="s">
        <v>1176</v>
      </c>
      <c r="G1049" s="148"/>
    </row>
    <row r="1050" ht="15.75" customHeight="1">
      <c r="A1050" s="148"/>
      <c r="B1050" s="132" t="s">
        <v>322</v>
      </c>
      <c r="C1050" s="133">
        <v>1896862.0</v>
      </c>
      <c r="D1050" s="149" t="s">
        <v>397</v>
      </c>
      <c r="E1050" s="150" t="s">
        <v>398</v>
      </c>
      <c r="F1050" s="151" t="s">
        <v>1176</v>
      </c>
      <c r="G1050" s="148"/>
    </row>
    <row r="1051" ht="15.75" customHeight="1">
      <c r="A1051" s="148"/>
      <c r="B1051" s="132" t="s">
        <v>322</v>
      </c>
      <c r="C1051" s="133">
        <v>1896863.0</v>
      </c>
      <c r="D1051" s="149" t="s">
        <v>397</v>
      </c>
      <c r="E1051" s="150" t="s">
        <v>398</v>
      </c>
      <c r="F1051" s="151" t="s">
        <v>1176</v>
      </c>
      <c r="G1051" s="148"/>
    </row>
    <row r="1052" ht="15.75" customHeight="1">
      <c r="A1052" s="148"/>
      <c r="B1052" s="132" t="s">
        <v>322</v>
      </c>
      <c r="C1052" s="133">
        <v>1896864.0</v>
      </c>
      <c r="D1052" s="149" t="s">
        <v>397</v>
      </c>
      <c r="E1052" s="150" t="s">
        <v>398</v>
      </c>
      <c r="F1052" s="151" t="s">
        <v>1176</v>
      </c>
      <c r="G1052" s="148"/>
    </row>
    <row r="1053" ht="15.75" customHeight="1">
      <c r="A1053" s="148"/>
      <c r="B1053" s="132" t="s">
        <v>322</v>
      </c>
      <c r="C1053" s="133">
        <v>1896865.0</v>
      </c>
      <c r="D1053" s="149" t="s">
        <v>397</v>
      </c>
      <c r="E1053" s="150" t="s">
        <v>398</v>
      </c>
      <c r="F1053" s="151" t="s">
        <v>1176</v>
      </c>
      <c r="G1053" s="148"/>
    </row>
    <row r="1054" ht="15.75" customHeight="1">
      <c r="A1054" s="148"/>
      <c r="B1054" s="132" t="s">
        <v>322</v>
      </c>
      <c r="C1054" s="133">
        <v>1896866.0</v>
      </c>
      <c r="D1054" s="149" t="s">
        <v>397</v>
      </c>
      <c r="E1054" s="150" t="s">
        <v>398</v>
      </c>
      <c r="F1054" s="151" t="s">
        <v>1176</v>
      </c>
      <c r="G1054" s="148"/>
    </row>
    <row r="1055" ht="15.75" customHeight="1">
      <c r="A1055" s="148"/>
      <c r="B1055" s="132" t="s">
        <v>322</v>
      </c>
      <c r="C1055" s="133">
        <v>1896867.0</v>
      </c>
      <c r="D1055" s="149" t="s">
        <v>397</v>
      </c>
      <c r="E1055" s="150" t="s">
        <v>398</v>
      </c>
      <c r="F1055" s="151" t="s">
        <v>1176</v>
      </c>
      <c r="G1055" s="148"/>
    </row>
    <row r="1056" ht="15.75" customHeight="1">
      <c r="A1056" s="148"/>
      <c r="B1056" s="132" t="s">
        <v>322</v>
      </c>
      <c r="C1056" s="133">
        <v>1896868.0</v>
      </c>
      <c r="D1056" s="149" t="s">
        <v>397</v>
      </c>
      <c r="E1056" s="150" t="s">
        <v>398</v>
      </c>
      <c r="F1056" s="151" t="s">
        <v>1176</v>
      </c>
      <c r="G1056" s="148"/>
    </row>
    <row r="1057" ht="15.75" customHeight="1">
      <c r="A1057" s="148"/>
      <c r="B1057" s="132" t="s">
        <v>322</v>
      </c>
      <c r="C1057" s="133">
        <v>1896869.0</v>
      </c>
      <c r="D1057" s="149" t="s">
        <v>397</v>
      </c>
      <c r="E1057" s="150" t="s">
        <v>398</v>
      </c>
      <c r="F1057" s="151" t="s">
        <v>1176</v>
      </c>
      <c r="G1057" s="148"/>
    </row>
    <row r="1058" ht="15.75" customHeight="1">
      <c r="A1058" s="148"/>
      <c r="B1058" s="132" t="s">
        <v>322</v>
      </c>
      <c r="C1058" s="133">
        <v>1896870.0</v>
      </c>
      <c r="D1058" s="149" t="s">
        <v>397</v>
      </c>
      <c r="E1058" s="150" t="s">
        <v>398</v>
      </c>
      <c r="F1058" s="151" t="s">
        <v>1176</v>
      </c>
      <c r="G1058" s="148"/>
    </row>
    <row r="1059" ht="15.75" customHeight="1">
      <c r="A1059" s="148"/>
      <c r="B1059" s="132" t="s">
        <v>322</v>
      </c>
      <c r="C1059" s="133">
        <v>1896871.0</v>
      </c>
      <c r="D1059" s="149" t="s">
        <v>397</v>
      </c>
      <c r="E1059" s="150" t="s">
        <v>398</v>
      </c>
      <c r="F1059" s="151" t="s">
        <v>1176</v>
      </c>
      <c r="G1059" s="148"/>
    </row>
    <row r="1060" ht="15.75" customHeight="1">
      <c r="A1060" s="148"/>
      <c r="B1060" s="132" t="s">
        <v>322</v>
      </c>
      <c r="C1060" s="133">
        <v>1896872.0</v>
      </c>
      <c r="D1060" s="149" t="s">
        <v>397</v>
      </c>
      <c r="E1060" s="150" t="s">
        <v>398</v>
      </c>
      <c r="F1060" s="151" t="s">
        <v>1176</v>
      </c>
      <c r="G1060" s="148"/>
    </row>
    <row r="1061" ht="15.75" customHeight="1">
      <c r="A1061" s="148"/>
      <c r="B1061" s="132" t="s">
        <v>322</v>
      </c>
      <c r="C1061" s="133">
        <v>1896873.0</v>
      </c>
      <c r="D1061" s="149" t="s">
        <v>397</v>
      </c>
      <c r="E1061" s="150" t="s">
        <v>398</v>
      </c>
      <c r="F1061" s="151" t="s">
        <v>1176</v>
      </c>
      <c r="G1061" s="148"/>
    </row>
    <row r="1062" ht="15.75" customHeight="1">
      <c r="A1062" s="148"/>
      <c r="B1062" s="132" t="s">
        <v>322</v>
      </c>
      <c r="C1062" s="133">
        <v>1896874.0</v>
      </c>
      <c r="D1062" s="149" t="s">
        <v>397</v>
      </c>
      <c r="E1062" s="150" t="s">
        <v>398</v>
      </c>
      <c r="F1062" s="151" t="s">
        <v>1176</v>
      </c>
      <c r="G1062" s="148"/>
    </row>
    <row r="1063" ht="15.75" customHeight="1">
      <c r="A1063" s="148"/>
      <c r="B1063" s="132" t="s">
        <v>322</v>
      </c>
      <c r="C1063" s="133">
        <v>1896875.0</v>
      </c>
      <c r="D1063" s="149" t="s">
        <v>397</v>
      </c>
      <c r="E1063" s="150" t="s">
        <v>398</v>
      </c>
      <c r="F1063" s="151" t="s">
        <v>1176</v>
      </c>
      <c r="G1063" s="148"/>
    </row>
    <row r="1064" ht="15.75" customHeight="1">
      <c r="A1064" s="148"/>
      <c r="B1064" s="132" t="s">
        <v>322</v>
      </c>
      <c r="C1064" s="133">
        <v>1896876.0</v>
      </c>
      <c r="D1064" s="149" t="s">
        <v>397</v>
      </c>
      <c r="E1064" s="150" t="s">
        <v>398</v>
      </c>
      <c r="F1064" s="151" t="s">
        <v>1176</v>
      </c>
      <c r="G1064" s="148"/>
    </row>
    <row r="1065" ht="15.75" customHeight="1">
      <c r="A1065" s="148"/>
      <c r="B1065" s="132" t="s">
        <v>322</v>
      </c>
      <c r="C1065" s="133">
        <v>1896877.0</v>
      </c>
      <c r="D1065" s="149" t="s">
        <v>397</v>
      </c>
      <c r="E1065" s="150" t="s">
        <v>398</v>
      </c>
      <c r="F1065" s="151" t="s">
        <v>1176</v>
      </c>
      <c r="G1065" s="148"/>
    </row>
    <row r="1066" ht="15.75" customHeight="1">
      <c r="A1066" s="148"/>
      <c r="B1066" s="132" t="s">
        <v>322</v>
      </c>
      <c r="C1066" s="133">
        <v>1896878.0</v>
      </c>
      <c r="D1066" s="149" t="s">
        <v>397</v>
      </c>
      <c r="E1066" s="150" t="s">
        <v>398</v>
      </c>
      <c r="F1066" s="151" t="s">
        <v>1176</v>
      </c>
      <c r="G1066" s="148"/>
    </row>
    <row r="1067" ht="15.75" customHeight="1">
      <c r="A1067" s="148"/>
      <c r="B1067" s="132" t="s">
        <v>322</v>
      </c>
      <c r="C1067" s="133">
        <v>1896879.0</v>
      </c>
      <c r="D1067" s="149" t="s">
        <v>397</v>
      </c>
      <c r="E1067" s="150" t="s">
        <v>398</v>
      </c>
      <c r="F1067" s="151" t="s">
        <v>1176</v>
      </c>
      <c r="G1067" s="148"/>
    </row>
    <row r="1068" ht="15.75" customHeight="1">
      <c r="A1068" s="148"/>
      <c r="B1068" s="132" t="s">
        <v>322</v>
      </c>
      <c r="C1068" s="133">
        <v>1896880.0</v>
      </c>
      <c r="D1068" s="149" t="s">
        <v>397</v>
      </c>
      <c r="E1068" s="150" t="s">
        <v>398</v>
      </c>
      <c r="F1068" s="151" t="s">
        <v>1176</v>
      </c>
      <c r="G1068" s="148"/>
    </row>
    <row r="1069" ht="15.75" customHeight="1">
      <c r="A1069" s="148"/>
      <c r="B1069" s="132" t="s">
        <v>322</v>
      </c>
      <c r="C1069" s="133">
        <v>1896881.0</v>
      </c>
      <c r="D1069" s="149" t="s">
        <v>397</v>
      </c>
      <c r="E1069" s="150" t="s">
        <v>398</v>
      </c>
      <c r="F1069" s="151" t="s">
        <v>1176</v>
      </c>
      <c r="G1069" s="148"/>
    </row>
    <row r="1070" ht="15.75" customHeight="1">
      <c r="A1070" s="148"/>
      <c r="B1070" s="132" t="s">
        <v>322</v>
      </c>
      <c r="C1070" s="133">
        <v>1896882.0</v>
      </c>
      <c r="D1070" s="149" t="s">
        <v>397</v>
      </c>
      <c r="E1070" s="150" t="s">
        <v>398</v>
      </c>
      <c r="F1070" s="151" t="s">
        <v>1176</v>
      </c>
      <c r="G1070" s="148"/>
    </row>
    <row r="1071" ht="15.75" customHeight="1">
      <c r="A1071" s="148"/>
      <c r="B1071" s="132" t="s">
        <v>322</v>
      </c>
      <c r="C1071" s="133">
        <v>1896883.0</v>
      </c>
      <c r="D1071" s="149" t="s">
        <v>397</v>
      </c>
      <c r="E1071" s="150" t="s">
        <v>398</v>
      </c>
      <c r="F1071" s="151" t="s">
        <v>1176</v>
      </c>
      <c r="G1071" s="148"/>
    </row>
    <row r="1072" ht="15.75" customHeight="1">
      <c r="A1072" s="148"/>
      <c r="B1072" s="132" t="s">
        <v>322</v>
      </c>
      <c r="C1072" s="133">
        <v>1896884.0</v>
      </c>
      <c r="D1072" s="149" t="s">
        <v>397</v>
      </c>
      <c r="E1072" s="150" t="s">
        <v>398</v>
      </c>
      <c r="F1072" s="151" t="s">
        <v>1176</v>
      </c>
      <c r="G1072" s="148"/>
    </row>
    <row r="1073" ht="15.75" customHeight="1">
      <c r="A1073" s="148"/>
      <c r="B1073" s="132" t="s">
        <v>322</v>
      </c>
      <c r="C1073" s="133">
        <v>1896885.0</v>
      </c>
      <c r="D1073" s="149" t="s">
        <v>397</v>
      </c>
      <c r="E1073" s="150" t="s">
        <v>398</v>
      </c>
      <c r="F1073" s="151" t="s">
        <v>1176</v>
      </c>
      <c r="G1073" s="148"/>
    </row>
    <row r="1074" ht="15.75" customHeight="1">
      <c r="A1074" s="148"/>
      <c r="B1074" s="132" t="s">
        <v>322</v>
      </c>
      <c r="C1074" s="133">
        <v>1896886.0</v>
      </c>
      <c r="D1074" s="149" t="s">
        <v>397</v>
      </c>
      <c r="E1074" s="150" t="s">
        <v>398</v>
      </c>
      <c r="F1074" s="151" t="s">
        <v>1176</v>
      </c>
      <c r="G1074" s="148"/>
    </row>
    <row r="1075" ht="15.75" customHeight="1">
      <c r="A1075" s="148"/>
      <c r="B1075" s="132" t="s">
        <v>322</v>
      </c>
      <c r="C1075" s="133">
        <v>1896887.0</v>
      </c>
      <c r="D1075" s="149" t="s">
        <v>397</v>
      </c>
      <c r="E1075" s="150" t="s">
        <v>398</v>
      </c>
      <c r="F1075" s="151" t="s">
        <v>1176</v>
      </c>
      <c r="G1075" s="148"/>
    </row>
    <row r="1076" ht="15.75" customHeight="1">
      <c r="A1076" s="148"/>
      <c r="B1076" s="132" t="s">
        <v>322</v>
      </c>
      <c r="C1076" s="133">
        <v>1896888.0</v>
      </c>
      <c r="D1076" s="149" t="s">
        <v>397</v>
      </c>
      <c r="E1076" s="150" t="s">
        <v>398</v>
      </c>
      <c r="F1076" s="151" t="s">
        <v>1176</v>
      </c>
      <c r="G1076" s="148"/>
    </row>
    <row r="1077" ht="15.75" customHeight="1">
      <c r="A1077" s="148"/>
      <c r="B1077" s="132" t="s">
        <v>322</v>
      </c>
      <c r="C1077" s="133">
        <v>1896889.0</v>
      </c>
      <c r="D1077" s="149" t="s">
        <v>397</v>
      </c>
      <c r="E1077" s="150" t="s">
        <v>398</v>
      </c>
      <c r="F1077" s="151" t="s">
        <v>1176</v>
      </c>
      <c r="G1077" s="148"/>
    </row>
    <row r="1078" ht="15.75" customHeight="1">
      <c r="A1078" s="148"/>
      <c r="B1078" s="132" t="s">
        <v>322</v>
      </c>
      <c r="C1078" s="133">
        <v>1896890.0</v>
      </c>
      <c r="D1078" s="149" t="s">
        <v>397</v>
      </c>
      <c r="E1078" s="150" t="s">
        <v>398</v>
      </c>
      <c r="F1078" s="151" t="s">
        <v>1176</v>
      </c>
      <c r="G1078" s="148"/>
    </row>
    <row r="1079" ht="15.75" customHeight="1">
      <c r="A1079" s="148"/>
      <c r="B1079" s="132" t="s">
        <v>322</v>
      </c>
      <c r="C1079" s="133">
        <v>1896891.0</v>
      </c>
      <c r="D1079" s="149" t="s">
        <v>397</v>
      </c>
      <c r="E1079" s="150" t="s">
        <v>398</v>
      </c>
      <c r="F1079" s="151" t="s">
        <v>1176</v>
      </c>
      <c r="G1079" s="148"/>
    </row>
    <row r="1080" ht="15.75" customHeight="1">
      <c r="A1080" s="148"/>
      <c r="B1080" s="132" t="s">
        <v>322</v>
      </c>
      <c r="C1080" s="133">
        <v>1896892.0</v>
      </c>
      <c r="D1080" s="149" t="s">
        <v>397</v>
      </c>
      <c r="E1080" s="150" t="s">
        <v>398</v>
      </c>
      <c r="F1080" s="151" t="s">
        <v>1176</v>
      </c>
      <c r="G1080" s="148"/>
    </row>
    <row r="1081" ht="15.75" customHeight="1">
      <c r="A1081" s="148"/>
      <c r="B1081" s="132" t="s">
        <v>322</v>
      </c>
      <c r="C1081" s="133">
        <v>1896893.0</v>
      </c>
      <c r="D1081" s="149" t="s">
        <v>397</v>
      </c>
      <c r="E1081" s="150" t="s">
        <v>398</v>
      </c>
      <c r="F1081" s="151" t="s">
        <v>1176</v>
      </c>
      <c r="G1081" s="148"/>
    </row>
    <row r="1082" ht="15.75" customHeight="1">
      <c r="A1082" s="148"/>
      <c r="B1082" s="132" t="s">
        <v>322</v>
      </c>
      <c r="C1082" s="133">
        <v>1896894.0</v>
      </c>
      <c r="D1082" s="149" t="s">
        <v>397</v>
      </c>
      <c r="E1082" s="150" t="s">
        <v>398</v>
      </c>
      <c r="F1082" s="151" t="s">
        <v>1176</v>
      </c>
      <c r="G1082" s="148"/>
    </row>
    <row r="1083" ht="15.75" customHeight="1">
      <c r="A1083" s="148"/>
      <c r="B1083" s="132" t="s">
        <v>322</v>
      </c>
      <c r="C1083" s="133">
        <v>1896895.0</v>
      </c>
      <c r="D1083" s="149" t="s">
        <v>397</v>
      </c>
      <c r="E1083" s="150" t="s">
        <v>398</v>
      </c>
      <c r="F1083" s="151" t="s">
        <v>1176</v>
      </c>
      <c r="G1083" s="148"/>
    </row>
    <row r="1084" ht="15.75" customHeight="1">
      <c r="A1084" s="148"/>
      <c r="B1084" s="132" t="s">
        <v>322</v>
      </c>
      <c r="C1084" s="133">
        <v>1896896.0</v>
      </c>
      <c r="D1084" s="149" t="s">
        <v>397</v>
      </c>
      <c r="E1084" s="150" t="s">
        <v>398</v>
      </c>
      <c r="F1084" s="151" t="s">
        <v>1176</v>
      </c>
      <c r="G1084" s="148"/>
    </row>
    <row r="1085" ht="15.75" customHeight="1">
      <c r="A1085" s="148"/>
      <c r="B1085" s="132" t="s">
        <v>322</v>
      </c>
      <c r="C1085" s="133">
        <v>1896897.0</v>
      </c>
      <c r="D1085" s="149" t="s">
        <v>397</v>
      </c>
      <c r="E1085" s="150" t="s">
        <v>398</v>
      </c>
      <c r="F1085" s="151" t="s">
        <v>1176</v>
      </c>
      <c r="G1085" s="148"/>
    </row>
    <row r="1086" ht="15.75" customHeight="1">
      <c r="A1086" s="148"/>
      <c r="B1086" s="132" t="s">
        <v>322</v>
      </c>
      <c r="C1086" s="133">
        <v>1896898.0</v>
      </c>
      <c r="D1086" s="149" t="s">
        <v>397</v>
      </c>
      <c r="E1086" s="150" t="s">
        <v>398</v>
      </c>
      <c r="F1086" s="151" t="s">
        <v>1176</v>
      </c>
      <c r="G1086" s="148"/>
    </row>
    <row r="1087" ht="15.75" customHeight="1">
      <c r="A1087" s="148"/>
      <c r="B1087" s="132" t="s">
        <v>322</v>
      </c>
      <c r="C1087" s="133">
        <v>1896899.0</v>
      </c>
      <c r="D1087" s="149" t="s">
        <v>397</v>
      </c>
      <c r="E1087" s="150" t="s">
        <v>398</v>
      </c>
      <c r="F1087" s="151" t="s">
        <v>1176</v>
      </c>
      <c r="G1087" s="148"/>
    </row>
    <row r="1088" ht="15.75" customHeight="1">
      <c r="A1088" s="148"/>
      <c r="B1088" s="132" t="s">
        <v>322</v>
      </c>
      <c r="C1088" s="133">
        <v>1896900.0</v>
      </c>
      <c r="D1088" s="149" t="s">
        <v>397</v>
      </c>
      <c r="E1088" s="150" t="s">
        <v>398</v>
      </c>
      <c r="F1088" s="151" t="s">
        <v>1176</v>
      </c>
      <c r="G1088" s="148"/>
    </row>
    <row r="1089" ht="15.75" customHeight="1">
      <c r="A1089" s="148"/>
      <c r="B1089" s="132" t="s">
        <v>322</v>
      </c>
      <c r="C1089" s="133">
        <v>1896901.0</v>
      </c>
      <c r="D1089" s="149" t="s">
        <v>397</v>
      </c>
      <c r="E1089" s="150" t="s">
        <v>398</v>
      </c>
      <c r="F1089" s="151" t="s">
        <v>1176</v>
      </c>
      <c r="G1089" s="148"/>
    </row>
    <row r="1090" ht="15.75" customHeight="1">
      <c r="A1090" s="148"/>
      <c r="B1090" s="132" t="s">
        <v>322</v>
      </c>
      <c r="C1090" s="133">
        <v>1896902.0</v>
      </c>
      <c r="D1090" s="149" t="s">
        <v>397</v>
      </c>
      <c r="E1090" s="150" t="s">
        <v>398</v>
      </c>
      <c r="F1090" s="151" t="s">
        <v>1176</v>
      </c>
      <c r="G1090" s="148"/>
    </row>
    <row r="1091" ht="15.75" customHeight="1">
      <c r="A1091" s="148"/>
      <c r="B1091" s="132" t="s">
        <v>322</v>
      </c>
      <c r="C1091" s="133">
        <v>1896903.0</v>
      </c>
      <c r="D1091" s="149" t="s">
        <v>397</v>
      </c>
      <c r="E1091" s="150" t="s">
        <v>398</v>
      </c>
      <c r="F1091" s="151" t="s">
        <v>1176</v>
      </c>
      <c r="G1091" s="148"/>
    </row>
    <row r="1092" ht="15.75" customHeight="1">
      <c r="A1092" s="148"/>
      <c r="B1092" s="132" t="s">
        <v>322</v>
      </c>
      <c r="C1092" s="133">
        <v>1896904.0</v>
      </c>
      <c r="D1092" s="149" t="s">
        <v>397</v>
      </c>
      <c r="E1092" s="150" t="s">
        <v>398</v>
      </c>
      <c r="F1092" s="151" t="s">
        <v>1176</v>
      </c>
      <c r="G1092" s="148"/>
    </row>
    <row r="1093" ht="15.75" customHeight="1">
      <c r="A1093" s="148"/>
      <c r="B1093" s="132" t="s">
        <v>322</v>
      </c>
      <c r="C1093" s="133">
        <v>1896905.0</v>
      </c>
      <c r="D1093" s="149" t="s">
        <v>397</v>
      </c>
      <c r="E1093" s="150" t="s">
        <v>398</v>
      </c>
      <c r="F1093" s="151" t="s">
        <v>1176</v>
      </c>
      <c r="G1093" s="148"/>
    </row>
    <row r="1094" ht="15.75" customHeight="1">
      <c r="A1094" s="148"/>
      <c r="B1094" s="132" t="s">
        <v>322</v>
      </c>
      <c r="C1094" s="133">
        <v>1896906.0</v>
      </c>
      <c r="D1094" s="149" t="s">
        <v>397</v>
      </c>
      <c r="E1094" s="150" t="s">
        <v>398</v>
      </c>
      <c r="F1094" s="151" t="s">
        <v>1176</v>
      </c>
      <c r="G1094" s="148"/>
    </row>
    <row r="1095" ht="15.75" customHeight="1">
      <c r="A1095" s="148"/>
      <c r="B1095" s="132" t="s">
        <v>322</v>
      </c>
      <c r="C1095" s="133">
        <v>1896907.0</v>
      </c>
      <c r="D1095" s="149" t="s">
        <v>397</v>
      </c>
      <c r="E1095" s="150" t="s">
        <v>398</v>
      </c>
      <c r="F1095" s="151" t="s">
        <v>1176</v>
      </c>
      <c r="G1095" s="148"/>
    </row>
    <row r="1096" ht="15.75" customHeight="1">
      <c r="A1096" s="148"/>
      <c r="B1096" s="132" t="s">
        <v>322</v>
      </c>
      <c r="C1096" s="133">
        <v>1896908.0</v>
      </c>
      <c r="D1096" s="149" t="s">
        <v>397</v>
      </c>
      <c r="E1096" s="150" t="s">
        <v>398</v>
      </c>
      <c r="F1096" s="151" t="s">
        <v>1176</v>
      </c>
      <c r="G1096" s="148"/>
    </row>
    <row r="1097" ht="15.75" customHeight="1">
      <c r="A1097" s="148"/>
      <c r="B1097" s="132" t="s">
        <v>322</v>
      </c>
      <c r="C1097" s="133">
        <v>1896909.0</v>
      </c>
      <c r="D1097" s="149" t="s">
        <v>397</v>
      </c>
      <c r="E1097" s="150" t="s">
        <v>398</v>
      </c>
      <c r="F1097" s="151" t="s">
        <v>1176</v>
      </c>
      <c r="G1097" s="148"/>
    </row>
    <row r="1098" ht="15.75" customHeight="1">
      <c r="A1098" s="148"/>
      <c r="B1098" s="132" t="s">
        <v>322</v>
      </c>
      <c r="C1098" s="133">
        <v>1896910.0</v>
      </c>
      <c r="D1098" s="149" t="s">
        <v>397</v>
      </c>
      <c r="E1098" s="150" t="s">
        <v>398</v>
      </c>
      <c r="F1098" s="151" t="s">
        <v>1176</v>
      </c>
      <c r="G1098" s="148"/>
    </row>
    <row r="1099" ht="15.75" customHeight="1">
      <c r="A1099" s="148"/>
      <c r="B1099" s="132" t="s">
        <v>322</v>
      </c>
      <c r="C1099" s="133">
        <v>1907842.0</v>
      </c>
      <c r="D1099" s="149" t="s">
        <v>397</v>
      </c>
      <c r="E1099" s="150" t="s">
        <v>398</v>
      </c>
      <c r="F1099" s="151" t="s">
        <v>1177</v>
      </c>
      <c r="G1099" s="148"/>
    </row>
    <row r="1100" ht="15.75" customHeight="1">
      <c r="A1100" s="148"/>
      <c r="B1100" s="132" t="s">
        <v>322</v>
      </c>
      <c r="C1100" s="133">
        <v>1907843.0</v>
      </c>
      <c r="D1100" s="149" t="s">
        <v>397</v>
      </c>
      <c r="E1100" s="150" t="s">
        <v>398</v>
      </c>
      <c r="F1100" s="151" t="s">
        <v>1177</v>
      </c>
      <c r="G1100" s="148"/>
    </row>
    <row r="1101" ht="15.75" customHeight="1">
      <c r="A1101" s="148"/>
      <c r="B1101" s="132" t="s">
        <v>322</v>
      </c>
      <c r="C1101" s="133">
        <v>1907844.0</v>
      </c>
      <c r="D1101" s="149" t="s">
        <v>397</v>
      </c>
      <c r="E1101" s="150" t="s">
        <v>398</v>
      </c>
      <c r="F1101" s="151" t="s">
        <v>1177</v>
      </c>
      <c r="G1101" s="148"/>
    </row>
    <row r="1102" ht="15.75" customHeight="1">
      <c r="A1102" s="148"/>
      <c r="B1102" s="132" t="s">
        <v>322</v>
      </c>
      <c r="C1102" s="133">
        <v>1907845.0</v>
      </c>
      <c r="D1102" s="149" t="s">
        <v>397</v>
      </c>
      <c r="E1102" s="150" t="s">
        <v>398</v>
      </c>
      <c r="F1102" s="151" t="s">
        <v>1177</v>
      </c>
      <c r="G1102" s="148"/>
    </row>
    <row r="1103" ht="15.75" customHeight="1">
      <c r="A1103" s="148"/>
      <c r="B1103" s="132" t="s">
        <v>322</v>
      </c>
      <c r="C1103" s="133">
        <v>1907846.0</v>
      </c>
      <c r="D1103" s="149" t="s">
        <v>397</v>
      </c>
      <c r="E1103" s="150" t="s">
        <v>398</v>
      </c>
      <c r="F1103" s="151" t="s">
        <v>1177</v>
      </c>
      <c r="G1103" s="148"/>
    </row>
    <row r="1104" ht="15.75" customHeight="1">
      <c r="A1104" s="148"/>
      <c r="B1104" s="132" t="s">
        <v>322</v>
      </c>
      <c r="C1104" s="133">
        <v>1907847.0</v>
      </c>
      <c r="D1104" s="149" t="s">
        <v>397</v>
      </c>
      <c r="E1104" s="150" t="s">
        <v>398</v>
      </c>
      <c r="F1104" s="151" t="s">
        <v>1177</v>
      </c>
      <c r="G1104" s="148"/>
    </row>
    <row r="1105" ht="15.75" customHeight="1">
      <c r="A1105" s="148"/>
      <c r="B1105" s="132" t="s">
        <v>322</v>
      </c>
      <c r="C1105" s="133">
        <v>1907848.0</v>
      </c>
      <c r="D1105" s="149" t="s">
        <v>397</v>
      </c>
      <c r="E1105" s="150" t="s">
        <v>398</v>
      </c>
      <c r="F1105" s="151" t="s">
        <v>1177</v>
      </c>
      <c r="G1105" s="148"/>
    </row>
    <row r="1106" ht="15.75" customHeight="1">
      <c r="A1106" s="148"/>
      <c r="B1106" s="132" t="s">
        <v>322</v>
      </c>
      <c r="C1106" s="133">
        <v>1907849.0</v>
      </c>
      <c r="D1106" s="149" t="s">
        <v>397</v>
      </c>
      <c r="E1106" s="150" t="s">
        <v>398</v>
      </c>
      <c r="F1106" s="151" t="s">
        <v>1177</v>
      </c>
      <c r="G1106" s="148"/>
    </row>
    <row r="1107" ht="15.75" customHeight="1">
      <c r="A1107" s="148"/>
      <c r="B1107" s="132" t="s">
        <v>322</v>
      </c>
      <c r="C1107" s="133">
        <v>1907850.0</v>
      </c>
      <c r="D1107" s="149" t="s">
        <v>397</v>
      </c>
      <c r="E1107" s="150" t="s">
        <v>398</v>
      </c>
      <c r="F1107" s="151" t="s">
        <v>1177</v>
      </c>
      <c r="G1107" s="148"/>
    </row>
    <row r="1108" ht="15.75" customHeight="1">
      <c r="A1108" s="148"/>
      <c r="B1108" s="132" t="s">
        <v>322</v>
      </c>
      <c r="C1108" s="133">
        <v>1907851.0</v>
      </c>
      <c r="D1108" s="149" t="s">
        <v>397</v>
      </c>
      <c r="E1108" s="150" t="s">
        <v>398</v>
      </c>
      <c r="F1108" s="151" t="s">
        <v>1177</v>
      </c>
      <c r="G1108" s="148"/>
    </row>
    <row r="1109" ht="15.75" customHeight="1">
      <c r="A1109" s="148"/>
      <c r="B1109" s="132" t="s">
        <v>322</v>
      </c>
      <c r="C1109" s="133">
        <v>1907852.0</v>
      </c>
      <c r="D1109" s="149" t="s">
        <v>397</v>
      </c>
      <c r="E1109" s="150" t="s">
        <v>398</v>
      </c>
      <c r="F1109" s="151" t="s">
        <v>1177</v>
      </c>
      <c r="G1109" s="148"/>
    </row>
    <row r="1110" ht="15.75" customHeight="1">
      <c r="A1110" s="148"/>
      <c r="B1110" s="132" t="s">
        <v>322</v>
      </c>
      <c r="C1110" s="133">
        <v>1907853.0</v>
      </c>
      <c r="D1110" s="149" t="s">
        <v>397</v>
      </c>
      <c r="E1110" s="150" t="s">
        <v>398</v>
      </c>
      <c r="F1110" s="151" t="s">
        <v>1177</v>
      </c>
      <c r="G1110" s="148"/>
    </row>
    <row r="1111" ht="15.75" customHeight="1">
      <c r="A1111" s="148"/>
      <c r="B1111" s="132" t="s">
        <v>322</v>
      </c>
      <c r="C1111" s="133">
        <v>1907854.0</v>
      </c>
      <c r="D1111" s="149" t="s">
        <v>397</v>
      </c>
      <c r="E1111" s="150" t="s">
        <v>398</v>
      </c>
      <c r="F1111" s="151" t="s">
        <v>1177</v>
      </c>
      <c r="G1111" s="148"/>
    </row>
    <row r="1112" ht="15.75" customHeight="1">
      <c r="A1112" s="148"/>
      <c r="B1112" s="132" t="s">
        <v>322</v>
      </c>
      <c r="C1112" s="133">
        <v>1907855.0</v>
      </c>
      <c r="D1112" s="149" t="s">
        <v>397</v>
      </c>
      <c r="E1112" s="150" t="s">
        <v>398</v>
      </c>
      <c r="F1112" s="151" t="s">
        <v>1177</v>
      </c>
      <c r="G1112" s="148"/>
    </row>
    <row r="1113" ht="15.75" customHeight="1">
      <c r="A1113" s="148"/>
      <c r="B1113" s="132" t="s">
        <v>322</v>
      </c>
      <c r="C1113" s="133">
        <v>1907856.0</v>
      </c>
      <c r="D1113" s="149" t="s">
        <v>397</v>
      </c>
      <c r="E1113" s="150" t="s">
        <v>398</v>
      </c>
      <c r="F1113" s="151" t="s">
        <v>1177</v>
      </c>
      <c r="G1113" s="148"/>
    </row>
    <row r="1114" ht="15.75" customHeight="1">
      <c r="A1114" s="148"/>
      <c r="B1114" s="132" t="s">
        <v>322</v>
      </c>
      <c r="C1114" s="133">
        <v>1907857.0</v>
      </c>
      <c r="D1114" s="149" t="s">
        <v>397</v>
      </c>
      <c r="E1114" s="150" t="s">
        <v>398</v>
      </c>
      <c r="F1114" s="151" t="s">
        <v>1177</v>
      </c>
      <c r="G1114" s="148"/>
    </row>
    <row r="1115" ht="15.75" customHeight="1">
      <c r="A1115" s="148"/>
      <c r="B1115" s="132" t="s">
        <v>322</v>
      </c>
      <c r="C1115" s="133">
        <v>1907858.0</v>
      </c>
      <c r="D1115" s="149" t="s">
        <v>397</v>
      </c>
      <c r="E1115" s="150" t="s">
        <v>398</v>
      </c>
      <c r="F1115" s="151" t="s">
        <v>1177</v>
      </c>
      <c r="G1115" s="148"/>
    </row>
    <row r="1116" ht="15.75" customHeight="1">
      <c r="A1116" s="148"/>
      <c r="B1116" s="132" t="s">
        <v>322</v>
      </c>
      <c r="C1116" s="133">
        <v>1907859.0</v>
      </c>
      <c r="D1116" s="149" t="s">
        <v>397</v>
      </c>
      <c r="E1116" s="150" t="s">
        <v>398</v>
      </c>
      <c r="F1116" s="151" t="s">
        <v>1177</v>
      </c>
      <c r="G1116" s="148"/>
    </row>
    <row r="1117" ht="15.75" customHeight="1">
      <c r="A1117" s="148"/>
      <c r="B1117" s="132" t="s">
        <v>322</v>
      </c>
      <c r="C1117" s="133">
        <v>1907860.0</v>
      </c>
      <c r="D1117" s="149" t="s">
        <v>397</v>
      </c>
      <c r="E1117" s="150" t="s">
        <v>398</v>
      </c>
      <c r="F1117" s="151" t="s">
        <v>1177</v>
      </c>
      <c r="G1117" s="148"/>
    </row>
    <row r="1118" ht="15.75" customHeight="1">
      <c r="A1118" s="148"/>
      <c r="B1118" s="132" t="s">
        <v>322</v>
      </c>
      <c r="C1118" s="133">
        <v>1907861.0</v>
      </c>
      <c r="D1118" s="149" t="s">
        <v>397</v>
      </c>
      <c r="E1118" s="150" t="s">
        <v>398</v>
      </c>
      <c r="F1118" s="151" t="s">
        <v>1177</v>
      </c>
      <c r="G1118" s="148"/>
    </row>
    <row r="1119" ht="15.75" customHeight="1">
      <c r="A1119" s="148"/>
      <c r="B1119" s="132" t="s">
        <v>322</v>
      </c>
      <c r="C1119" s="133">
        <v>1907862.0</v>
      </c>
      <c r="D1119" s="149" t="s">
        <v>397</v>
      </c>
      <c r="E1119" s="150" t="s">
        <v>398</v>
      </c>
      <c r="F1119" s="151" t="s">
        <v>1177</v>
      </c>
      <c r="G1119" s="148"/>
    </row>
    <row r="1120" ht="15.75" customHeight="1">
      <c r="A1120" s="148"/>
      <c r="B1120" s="132" t="s">
        <v>322</v>
      </c>
      <c r="C1120" s="133">
        <v>1907863.0</v>
      </c>
      <c r="D1120" s="149" t="s">
        <v>397</v>
      </c>
      <c r="E1120" s="150" t="s">
        <v>398</v>
      </c>
      <c r="F1120" s="151" t="s">
        <v>1177</v>
      </c>
      <c r="G1120" s="148"/>
    </row>
    <row r="1121" ht="15.75" customHeight="1">
      <c r="A1121" s="148"/>
      <c r="B1121" s="132" t="s">
        <v>322</v>
      </c>
      <c r="C1121" s="133">
        <v>1907864.0</v>
      </c>
      <c r="D1121" s="149" t="s">
        <v>397</v>
      </c>
      <c r="E1121" s="150" t="s">
        <v>398</v>
      </c>
      <c r="F1121" s="151" t="s">
        <v>1177</v>
      </c>
      <c r="G1121" s="148"/>
    </row>
    <row r="1122" ht="15.75" customHeight="1">
      <c r="A1122" s="148"/>
      <c r="B1122" s="132" t="s">
        <v>322</v>
      </c>
      <c r="C1122" s="133">
        <v>1907865.0</v>
      </c>
      <c r="D1122" s="149" t="s">
        <v>397</v>
      </c>
      <c r="E1122" s="150" t="s">
        <v>398</v>
      </c>
      <c r="F1122" s="151" t="s">
        <v>1177</v>
      </c>
      <c r="G1122" s="148"/>
    </row>
    <row r="1123" ht="15.75" customHeight="1">
      <c r="A1123" s="148"/>
      <c r="B1123" s="132" t="s">
        <v>322</v>
      </c>
      <c r="C1123" s="133">
        <v>1907866.0</v>
      </c>
      <c r="D1123" s="149" t="s">
        <v>397</v>
      </c>
      <c r="E1123" s="150" t="s">
        <v>398</v>
      </c>
      <c r="F1123" s="151" t="s">
        <v>1177</v>
      </c>
      <c r="G1123" s="148"/>
    </row>
    <row r="1124" ht="15.75" customHeight="1">
      <c r="A1124" s="148"/>
      <c r="B1124" s="132" t="s">
        <v>322</v>
      </c>
      <c r="C1124" s="133">
        <v>1907867.0</v>
      </c>
      <c r="D1124" s="149" t="s">
        <v>397</v>
      </c>
      <c r="E1124" s="150" t="s">
        <v>398</v>
      </c>
      <c r="F1124" s="151" t="s">
        <v>1177</v>
      </c>
      <c r="G1124" s="148"/>
    </row>
    <row r="1125" ht="15.75" customHeight="1">
      <c r="A1125" s="148"/>
      <c r="B1125" s="132" t="s">
        <v>322</v>
      </c>
      <c r="C1125" s="133">
        <v>1907868.0</v>
      </c>
      <c r="D1125" s="149" t="s">
        <v>397</v>
      </c>
      <c r="E1125" s="150" t="s">
        <v>398</v>
      </c>
      <c r="F1125" s="151" t="s">
        <v>1177</v>
      </c>
      <c r="G1125" s="148"/>
    </row>
    <row r="1126" ht="15.75" customHeight="1">
      <c r="A1126" s="148"/>
      <c r="B1126" s="132" t="s">
        <v>322</v>
      </c>
      <c r="C1126" s="133">
        <v>1907869.0</v>
      </c>
      <c r="D1126" s="149" t="s">
        <v>397</v>
      </c>
      <c r="E1126" s="150" t="s">
        <v>398</v>
      </c>
      <c r="F1126" s="151" t="s">
        <v>1177</v>
      </c>
      <c r="G1126" s="148"/>
    </row>
    <row r="1127" ht="15.75" customHeight="1">
      <c r="A1127" s="148"/>
      <c r="B1127" s="132" t="s">
        <v>322</v>
      </c>
      <c r="C1127" s="133">
        <v>1907870.0</v>
      </c>
      <c r="D1127" s="149" t="s">
        <v>397</v>
      </c>
      <c r="E1127" s="150" t="s">
        <v>398</v>
      </c>
      <c r="F1127" s="151" t="s">
        <v>1177</v>
      </c>
      <c r="G1127" s="148"/>
    </row>
    <row r="1128" ht="15.75" customHeight="1">
      <c r="A1128" s="148"/>
      <c r="B1128" s="132" t="s">
        <v>322</v>
      </c>
      <c r="C1128" s="133">
        <v>1907871.0</v>
      </c>
      <c r="D1128" s="149" t="s">
        <v>397</v>
      </c>
      <c r="E1128" s="150" t="s">
        <v>398</v>
      </c>
      <c r="F1128" s="151" t="s">
        <v>1177</v>
      </c>
      <c r="G1128" s="148"/>
    </row>
    <row r="1129" ht="15.75" customHeight="1">
      <c r="A1129" s="148"/>
      <c r="B1129" s="132" t="s">
        <v>322</v>
      </c>
      <c r="C1129" s="133">
        <v>1907872.0</v>
      </c>
      <c r="D1129" s="149" t="s">
        <v>397</v>
      </c>
      <c r="E1129" s="150" t="s">
        <v>398</v>
      </c>
      <c r="F1129" s="151" t="s">
        <v>1177</v>
      </c>
      <c r="G1129" s="148"/>
    </row>
    <row r="1130" ht="15.75" customHeight="1">
      <c r="A1130" s="148"/>
      <c r="B1130" s="132" t="s">
        <v>322</v>
      </c>
      <c r="C1130" s="133">
        <v>1907873.0</v>
      </c>
      <c r="D1130" s="149" t="s">
        <v>397</v>
      </c>
      <c r="E1130" s="150" t="s">
        <v>398</v>
      </c>
      <c r="F1130" s="151" t="s">
        <v>1177</v>
      </c>
      <c r="G1130" s="148"/>
    </row>
    <row r="1131" ht="15.75" customHeight="1">
      <c r="A1131" s="148"/>
      <c r="B1131" s="132" t="s">
        <v>322</v>
      </c>
      <c r="C1131" s="133">
        <v>1907874.0</v>
      </c>
      <c r="D1131" s="149" t="s">
        <v>397</v>
      </c>
      <c r="E1131" s="150" t="s">
        <v>398</v>
      </c>
      <c r="F1131" s="151" t="s">
        <v>1177</v>
      </c>
      <c r="G1131" s="148"/>
    </row>
    <row r="1132" ht="15.75" customHeight="1">
      <c r="A1132" s="148"/>
      <c r="B1132" s="132" t="s">
        <v>322</v>
      </c>
      <c r="C1132" s="133">
        <v>1907875.0</v>
      </c>
      <c r="D1132" s="149" t="s">
        <v>397</v>
      </c>
      <c r="E1132" s="150" t="s">
        <v>398</v>
      </c>
      <c r="F1132" s="151" t="s">
        <v>1177</v>
      </c>
      <c r="G1132" s="148"/>
    </row>
    <row r="1133" ht="15.75" customHeight="1">
      <c r="A1133" s="148"/>
      <c r="B1133" s="132" t="s">
        <v>322</v>
      </c>
      <c r="C1133" s="133">
        <v>1907876.0</v>
      </c>
      <c r="D1133" s="149" t="s">
        <v>397</v>
      </c>
      <c r="E1133" s="150" t="s">
        <v>398</v>
      </c>
      <c r="F1133" s="151" t="s">
        <v>1177</v>
      </c>
      <c r="G1133" s="148"/>
    </row>
    <row r="1134" ht="15.75" customHeight="1">
      <c r="A1134" s="148"/>
      <c r="B1134" s="132" t="s">
        <v>322</v>
      </c>
      <c r="C1134" s="133">
        <v>1907877.0</v>
      </c>
      <c r="D1134" s="149" t="s">
        <v>397</v>
      </c>
      <c r="E1134" s="150" t="s">
        <v>398</v>
      </c>
      <c r="F1134" s="151" t="s">
        <v>1177</v>
      </c>
      <c r="G1134" s="148"/>
    </row>
    <row r="1135" ht="15.75" customHeight="1">
      <c r="A1135" s="148"/>
      <c r="B1135" s="132" t="s">
        <v>322</v>
      </c>
      <c r="C1135" s="133">
        <v>1907878.0</v>
      </c>
      <c r="D1135" s="149" t="s">
        <v>397</v>
      </c>
      <c r="E1135" s="150" t="s">
        <v>398</v>
      </c>
      <c r="F1135" s="151" t="s">
        <v>1177</v>
      </c>
      <c r="G1135" s="148"/>
    </row>
    <row r="1136" ht="15.75" customHeight="1">
      <c r="A1136" s="148"/>
      <c r="B1136" s="132" t="s">
        <v>322</v>
      </c>
      <c r="C1136" s="133">
        <v>1907879.0</v>
      </c>
      <c r="D1136" s="149" t="s">
        <v>397</v>
      </c>
      <c r="E1136" s="150" t="s">
        <v>398</v>
      </c>
      <c r="F1136" s="151" t="s">
        <v>1177</v>
      </c>
      <c r="G1136" s="148"/>
    </row>
    <row r="1137" ht="15.75" customHeight="1">
      <c r="A1137" s="148"/>
      <c r="B1137" s="132" t="s">
        <v>322</v>
      </c>
      <c r="C1137" s="133">
        <v>1907880.0</v>
      </c>
      <c r="D1137" s="149" t="s">
        <v>397</v>
      </c>
      <c r="E1137" s="150" t="s">
        <v>398</v>
      </c>
      <c r="F1137" s="151" t="s">
        <v>1177</v>
      </c>
      <c r="G1137" s="148"/>
    </row>
    <row r="1138" ht="15.75" customHeight="1">
      <c r="A1138" s="148"/>
      <c r="B1138" s="132" t="s">
        <v>322</v>
      </c>
      <c r="C1138" s="133">
        <v>1907881.0</v>
      </c>
      <c r="D1138" s="149" t="s">
        <v>397</v>
      </c>
      <c r="E1138" s="150" t="s">
        <v>398</v>
      </c>
      <c r="F1138" s="151" t="s">
        <v>1177</v>
      </c>
      <c r="G1138" s="148"/>
    </row>
    <row r="1139" ht="15.75" customHeight="1">
      <c r="A1139" s="148"/>
      <c r="B1139" s="132" t="s">
        <v>322</v>
      </c>
      <c r="C1139" s="133">
        <v>1907882.0</v>
      </c>
      <c r="D1139" s="149" t="s">
        <v>397</v>
      </c>
      <c r="E1139" s="150" t="s">
        <v>398</v>
      </c>
      <c r="F1139" s="151" t="s">
        <v>1177</v>
      </c>
      <c r="G1139" s="148"/>
    </row>
    <row r="1140" ht="15.75" customHeight="1">
      <c r="A1140" s="148"/>
      <c r="B1140" s="132" t="s">
        <v>322</v>
      </c>
      <c r="C1140" s="133">
        <v>1907883.0</v>
      </c>
      <c r="D1140" s="149" t="s">
        <v>397</v>
      </c>
      <c r="E1140" s="150" t="s">
        <v>398</v>
      </c>
      <c r="F1140" s="151" t="s">
        <v>1177</v>
      </c>
      <c r="G1140" s="148"/>
    </row>
    <row r="1141" ht="15.75" customHeight="1">
      <c r="A1141" s="148"/>
      <c r="B1141" s="132" t="s">
        <v>322</v>
      </c>
      <c r="C1141" s="133">
        <v>1907884.0</v>
      </c>
      <c r="D1141" s="149" t="s">
        <v>397</v>
      </c>
      <c r="E1141" s="150" t="s">
        <v>398</v>
      </c>
      <c r="F1141" s="151" t="s">
        <v>1177</v>
      </c>
      <c r="G1141" s="148"/>
    </row>
    <row r="1142" ht="15.75" customHeight="1">
      <c r="A1142" s="148"/>
      <c r="B1142" s="132" t="s">
        <v>322</v>
      </c>
      <c r="C1142" s="133">
        <v>1907885.0</v>
      </c>
      <c r="D1142" s="149" t="s">
        <v>397</v>
      </c>
      <c r="E1142" s="150" t="s">
        <v>398</v>
      </c>
      <c r="F1142" s="151" t="s">
        <v>1177</v>
      </c>
      <c r="G1142" s="148"/>
    </row>
    <row r="1143" ht="15.75" customHeight="1">
      <c r="A1143" s="148"/>
      <c r="B1143" s="132" t="s">
        <v>322</v>
      </c>
      <c r="C1143" s="133">
        <v>1907886.0</v>
      </c>
      <c r="D1143" s="149" t="s">
        <v>397</v>
      </c>
      <c r="E1143" s="150" t="s">
        <v>398</v>
      </c>
      <c r="F1143" s="151" t="s">
        <v>1177</v>
      </c>
      <c r="G1143" s="148"/>
    </row>
    <row r="1144" ht="15.75" customHeight="1">
      <c r="A1144" s="148"/>
      <c r="B1144" s="132" t="s">
        <v>322</v>
      </c>
      <c r="C1144" s="133">
        <v>1907887.0</v>
      </c>
      <c r="D1144" s="149" t="s">
        <v>397</v>
      </c>
      <c r="E1144" s="150" t="s">
        <v>398</v>
      </c>
      <c r="F1144" s="151" t="s">
        <v>1177</v>
      </c>
      <c r="G1144" s="148"/>
    </row>
    <row r="1145" ht="15.75" customHeight="1">
      <c r="A1145" s="148"/>
      <c r="B1145" s="132" t="s">
        <v>322</v>
      </c>
      <c r="C1145" s="133">
        <v>1907888.0</v>
      </c>
      <c r="D1145" s="149" t="s">
        <v>397</v>
      </c>
      <c r="E1145" s="150" t="s">
        <v>398</v>
      </c>
      <c r="F1145" s="151" t="s">
        <v>1177</v>
      </c>
      <c r="G1145" s="148"/>
    </row>
    <row r="1146" ht="15.75" customHeight="1">
      <c r="A1146" s="148"/>
      <c r="B1146" s="132" t="s">
        <v>322</v>
      </c>
      <c r="C1146" s="133">
        <v>1907889.0</v>
      </c>
      <c r="D1146" s="149" t="s">
        <v>397</v>
      </c>
      <c r="E1146" s="150" t="s">
        <v>398</v>
      </c>
      <c r="F1146" s="151" t="s">
        <v>1177</v>
      </c>
      <c r="G1146" s="148"/>
    </row>
    <row r="1147" ht="15.75" customHeight="1">
      <c r="A1147" s="148"/>
      <c r="B1147" s="132" t="s">
        <v>322</v>
      </c>
      <c r="C1147" s="133">
        <v>1907890.0</v>
      </c>
      <c r="D1147" s="149" t="s">
        <v>397</v>
      </c>
      <c r="E1147" s="150" t="s">
        <v>398</v>
      </c>
      <c r="F1147" s="151" t="s">
        <v>1177</v>
      </c>
      <c r="G1147" s="148"/>
    </row>
    <row r="1148" ht="15.75" customHeight="1">
      <c r="A1148" s="148"/>
      <c r="B1148" s="132" t="s">
        <v>322</v>
      </c>
      <c r="C1148" s="133">
        <v>1907891.0</v>
      </c>
      <c r="D1148" s="149" t="s">
        <v>397</v>
      </c>
      <c r="E1148" s="150" t="s">
        <v>398</v>
      </c>
      <c r="F1148" s="151" t="s">
        <v>1177</v>
      </c>
      <c r="G1148" s="148"/>
    </row>
    <row r="1149" ht="15.75" customHeight="1">
      <c r="A1149" s="148"/>
      <c r="B1149" s="132" t="s">
        <v>322</v>
      </c>
      <c r="C1149" s="133">
        <v>1907892.0</v>
      </c>
      <c r="D1149" s="149" t="s">
        <v>397</v>
      </c>
      <c r="E1149" s="150" t="s">
        <v>398</v>
      </c>
      <c r="F1149" s="151" t="s">
        <v>1177</v>
      </c>
      <c r="G1149" s="148"/>
    </row>
    <row r="1150" ht="15.75" customHeight="1">
      <c r="A1150" s="148"/>
      <c r="B1150" s="132" t="s">
        <v>322</v>
      </c>
      <c r="C1150" s="133">
        <v>1907893.0</v>
      </c>
      <c r="D1150" s="149" t="s">
        <v>397</v>
      </c>
      <c r="E1150" s="150" t="s">
        <v>398</v>
      </c>
      <c r="F1150" s="151" t="s">
        <v>1177</v>
      </c>
      <c r="G1150" s="148"/>
    </row>
    <row r="1151" ht="15.75" customHeight="1">
      <c r="A1151" s="148"/>
      <c r="B1151" s="132" t="s">
        <v>322</v>
      </c>
      <c r="C1151" s="133">
        <v>1907894.0</v>
      </c>
      <c r="D1151" s="149" t="s">
        <v>397</v>
      </c>
      <c r="E1151" s="150" t="s">
        <v>398</v>
      </c>
      <c r="F1151" s="151" t="s">
        <v>1177</v>
      </c>
      <c r="G1151" s="148"/>
    </row>
    <row r="1152" ht="15.75" customHeight="1">
      <c r="A1152" s="148"/>
      <c r="B1152" s="132" t="s">
        <v>322</v>
      </c>
      <c r="C1152" s="133">
        <v>1907895.0</v>
      </c>
      <c r="D1152" s="149" t="s">
        <v>397</v>
      </c>
      <c r="E1152" s="150" t="s">
        <v>398</v>
      </c>
      <c r="F1152" s="151" t="s">
        <v>1177</v>
      </c>
      <c r="G1152" s="148"/>
    </row>
    <row r="1153" ht="15.75" customHeight="1">
      <c r="A1153" s="148"/>
      <c r="B1153" s="132" t="s">
        <v>322</v>
      </c>
      <c r="C1153" s="133">
        <v>1907896.0</v>
      </c>
      <c r="D1153" s="149" t="s">
        <v>397</v>
      </c>
      <c r="E1153" s="150" t="s">
        <v>398</v>
      </c>
      <c r="F1153" s="151" t="s">
        <v>1177</v>
      </c>
      <c r="G1153" s="148"/>
    </row>
    <row r="1154" ht="15.75" customHeight="1">
      <c r="A1154" s="148"/>
      <c r="B1154" s="132" t="s">
        <v>322</v>
      </c>
      <c r="C1154" s="133">
        <v>1907897.0</v>
      </c>
      <c r="D1154" s="149" t="s">
        <v>397</v>
      </c>
      <c r="E1154" s="150" t="s">
        <v>398</v>
      </c>
      <c r="F1154" s="151" t="s">
        <v>1177</v>
      </c>
      <c r="G1154" s="148"/>
    </row>
    <row r="1155" ht="15.75" customHeight="1">
      <c r="A1155" s="148"/>
      <c r="B1155" s="132" t="s">
        <v>322</v>
      </c>
      <c r="C1155" s="133">
        <v>1907898.0</v>
      </c>
      <c r="D1155" s="149" t="s">
        <v>397</v>
      </c>
      <c r="E1155" s="150" t="s">
        <v>398</v>
      </c>
      <c r="F1155" s="151" t="s">
        <v>1177</v>
      </c>
      <c r="G1155" s="148"/>
    </row>
    <row r="1156" ht="15.75" customHeight="1">
      <c r="A1156" s="148"/>
      <c r="B1156" s="132" t="s">
        <v>322</v>
      </c>
      <c r="C1156" s="133">
        <v>1907899.0</v>
      </c>
      <c r="D1156" s="149" t="s">
        <v>397</v>
      </c>
      <c r="E1156" s="150" t="s">
        <v>398</v>
      </c>
      <c r="F1156" s="151" t="s">
        <v>1177</v>
      </c>
      <c r="G1156" s="148"/>
    </row>
    <row r="1157" ht="15.75" customHeight="1">
      <c r="A1157" s="148"/>
      <c r="B1157" s="132" t="s">
        <v>322</v>
      </c>
      <c r="C1157" s="133">
        <v>1907900.0</v>
      </c>
      <c r="D1157" s="149" t="s">
        <v>397</v>
      </c>
      <c r="E1157" s="150" t="s">
        <v>398</v>
      </c>
      <c r="F1157" s="151" t="s">
        <v>1177</v>
      </c>
      <c r="G1157" s="148"/>
    </row>
    <row r="1158" ht="15.75" customHeight="1">
      <c r="A1158" s="148"/>
      <c r="B1158" s="132" t="s">
        <v>322</v>
      </c>
      <c r="C1158" s="133">
        <v>1907901.0</v>
      </c>
      <c r="D1158" s="149" t="s">
        <v>397</v>
      </c>
      <c r="E1158" s="150" t="s">
        <v>398</v>
      </c>
      <c r="F1158" s="151" t="s">
        <v>1177</v>
      </c>
      <c r="G1158" s="148"/>
    </row>
    <row r="1159" ht="15.75" customHeight="1">
      <c r="A1159" s="148"/>
      <c r="B1159" s="132" t="s">
        <v>322</v>
      </c>
      <c r="C1159" s="133">
        <v>1907902.0</v>
      </c>
      <c r="D1159" s="149" t="s">
        <v>397</v>
      </c>
      <c r="E1159" s="150" t="s">
        <v>398</v>
      </c>
      <c r="F1159" s="151" t="s">
        <v>1177</v>
      </c>
      <c r="G1159" s="148"/>
    </row>
    <row r="1160" ht="15.75" customHeight="1">
      <c r="A1160" s="148"/>
      <c r="B1160" s="132" t="s">
        <v>322</v>
      </c>
      <c r="C1160" s="133">
        <v>1907903.0</v>
      </c>
      <c r="D1160" s="149" t="s">
        <v>397</v>
      </c>
      <c r="E1160" s="150" t="s">
        <v>398</v>
      </c>
      <c r="F1160" s="151" t="s">
        <v>1177</v>
      </c>
      <c r="G1160" s="148"/>
    </row>
    <row r="1161" ht="15.75" customHeight="1">
      <c r="A1161" s="148"/>
      <c r="B1161" s="132" t="s">
        <v>322</v>
      </c>
      <c r="C1161" s="133">
        <v>1907904.0</v>
      </c>
      <c r="D1161" s="149" t="s">
        <v>397</v>
      </c>
      <c r="E1161" s="150" t="s">
        <v>398</v>
      </c>
      <c r="F1161" s="151" t="s">
        <v>1177</v>
      </c>
      <c r="G1161" s="148"/>
    </row>
    <row r="1162" ht="15.75" customHeight="1">
      <c r="A1162" s="148"/>
      <c r="B1162" s="132" t="s">
        <v>322</v>
      </c>
      <c r="C1162" s="133">
        <v>1907905.0</v>
      </c>
      <c r="D1162" s="149" t="s">
        <v>397</v>
      </c>
      <c r="E1162" s="150" t="s">
        <v>398</v>
      </c>
      <c r="F1162" s="151" t="s">
        <v>1177</v>
      </c>
      <c r="G1162" s="148"/>
    </row>
    <row r="1163" ht="15.75" customHeight="1">
      <c r="A1163" s="148"/>
      <c r="B1163" s="132" t="s">
        <v>322</v>
      </c>
      <c r="C1163" s="133">
        <v>1907906.0</v>
      </c>
      <c r="D1163" s="149" t="s">
        <v>397</v>
      </c>
      <c r="E1163" s="150" t="s">
        <v>398</v>
      </c>
      <c r="F1163" s="151" t="s">
        <v>1177</v>
      </c>
      <c r="G1163" s="148"/>
    </row>
    <row r="1164" ht="15.75" customHeight="1">
      <c r="A1164" s="148"/>
      <c r="B1164" s="132" t="s">
        <v>322</v>
      </c>
      <c r="C1164" s="133">
        <v>1907907.0</v>
      </c>
      <c r="D1164" s="149" t="s">
        <v>397</v>
      </c>
      <c r="E1164" s="150" t="s">
        <v>398</v>
      </c>
      <c r="F1164" s="151" t="s">
        <v>1177</v>
      </c>
      <c r="G1164" s="148"/>
    </row>
    <row r="1165" ht="15.75" customHeight="1">
      <c r="A1165" s="148"/>
      <c r="B1165" s="132" t="s">
        <v>322</v>
      </c>
      <c r="C1165" s="133">
        <v>1907908.0</v>
      </c>
      <c r="D1165" s="149" t="s">
        <v>397</v>
      </c>
      <c r="E1165" s="150" t="s">
        <v>398</v>
      </c>
      <c r="F1165" s="151" t="s">
        <v>1177</v>
      </c>
      <c r="G1165" s="148"/>
    </row>
    <row r="1166" ht="15.75" customHeight="1">
      <c r="A1166" s="148"/>
      <c r="B1166" s="132" t="s">
        <v>322</v>
      </c>
      <c r="C1166" s="133">
        <v>1907909.0</v>
      </c>
      <c r="D1166" s="149" t="s">
        <v>397</v>
      </c>
      <c r="E1166" s="150" t="s">
        <v>398</v>
      </c>
      <c r="F1166" s="151" t="s">
        <v>1177</v>
      </c>
      <c r="G1166" s="148"/>
    </row>
    <row r="1167" ht="15.75" customHeight="1">
      <c r="A1167" s="148"/>
      <c r="B1167" s="132" t="s">
        <v>322</v>
      </c>
      <c r="C1167" s="133">
        <v>1907910.0</v>
      </c>
      <c r="D1167" s="149" t="s">
        <v>397</v>
      </c>
      <c r="E1167" s="150" t="s">
        <v>398</v>
      </c>
      <c r="F1167" s="151" t="s">
        <v>1177</v>
      </c>
      <c r="G1167" s="148"/>
    </row>
    <row r="1168" ht="15.75" customHeight="1">
      <c r="A1168" s="148"/>
      <c r="B1168" s="132" t="s">
        <v>322</v>
      </c>
      <c r="C1168" s="133">
        <v>1907911.0</v>
      </c>
      <c r="D1168" s="149" t="s">
        <v>397</v>
      </c>
      <c r="E1168" s="150" t="s">
        <v>398</v>
      </c>
      <c r="F1168" s="151" t="s">
        <v>1177</v>
      </c>
      <c r="G1168" s="148"/>
    </row>
    <row r="1169" ht="15.75" customHeight="1">
      <c r="A1169" s="148"/>
      <c r="B1169" s="132" t="s">
        <v>322</v>
      </c>
      <c r="C1169" s="133">
        <v>1907912.0</v>
      </c>
      <c r="D1169" s="149" t="s">
        <v>397</v>
      </c>
      <c r="E1169" s="150" t="s">
        <v>398</v>
      </c>
      <c r="F1169" s="151" t="s">
        <v>1177</v>
      </c>
      <c r="G1169" s="148"/>
    </row>
    <row r="1170" ht="15.75" customHeight="1">
      <c r="A1170" s="148"/>
      <c r="B1170" s="132" t="s">
        <v>322</v>
      </c>
      <c r="C1170" s="133">
        <v>1907913.0</v>
      </c>
      <c r="D1170" s="149" t="s">
        <v>397</v>
      </c>
      <c r="E1170" s="150" t="s">
        <v>398</v>
      </c>
      <c r="F1170" s="151" t="s">
        <v>1177</v>
      </c>
      <c r="G1170" s="148"/>
    </row>
    <row r="1171" ht="15.75" customHeight="1">
      <c r="A1171" s="148"/>
      <c r="B1171" s="132" t="s">
        <v>322</v>
      </c>
      <c r="C1171" s="133">
        <v>1907914.0</v>
      </c>
      <c r="D1171" s="149" t="s">
        <v>397</v>
      </c>
      <c r="E1171" s="150" t="s">
        <v>398</v>
      </c>
      <c r="F1171" s="151" t="s">
        <v>1177</v>
      </c>
      <c r="G1171" s="148"/>
    </row>
    <row r="1172" ht="15.75" customHeight="1">
      <c r="A1172" s="148"/>
      <c r="B1172" s="132" t="s">
        <v>322</v>
      </c>
      <c r="C1172" s="133">
        <v>1907915.0</v>
      </c>
      <c r="D1172" s="149" t="s">
        <v>397</v>
      </c>
      <c r="E1172" s="150" t="s">
        <v>398</v>
      </c>
      <c r="F1172" s="151" t="s">
        <v>1177</v>
      </c>
      <c r="G1172" s="148"/>
    </row>
    <row r="1173" ht="15.75" customHeight="1">
      <c r="A1173" s="148"/>
      <c r="B1173" s="132" t="s">
        <v>322</v>
      </c>
      <c r="C1173" s="133">
        <v>1907916.0</v>
      </c>
      <c r="D1173" s="149" t="s">
        <v>397</v>
      </c>
      <c r="E1173" s="150" t="s">
        <v>398</v>
      </c>
      <c r="F1173" s="151" t="s">
        <v>1177</v>
      </c>
      <c r="G1173" s="148"/>
    </row>
    <row r="1174" ht="15.75" customHeight="1">
      <c r="A1174" s="148"/>
      <c r="B1174" s="132" t="s">
        <v>322</v>
      </c>
      <c r="C1174" s="133">
        <v>1907917.0</v>
      </c>
      <c r="D1174" s="149" t="s">
        <v>397</v>
      </c>
      <c r="E1174" s="150" t="s">
        <v>398</v>
      </c>
      <c r="F1174" s="151" t="s">
        <v>1177</v>
      </c>
      <c r="G1174" s="148"/>
    </row>
    <row r="1175" ht="15.75" customHeight="1">
      <c r="A1175" s="148"/>
      <c r="B1175" s="132" t="s">
        <v>322</v>
      </c>
      <c r="C1175" s="133">
        <v>1907918.0</v>
      </c>
      <c r="D1175" s="149" t="s">
        <v>397</v>
      </c>
      <c r="E1175" s="150" t="s">
        <v>398</v>
      </c>
      <c r="F1175" s="151" t="s">
        <v>1177</v>
      </c>
      <c r="G1175" s="148"/>
    </row>
    <row r="1176" ht="15.75" customHeight="1">
      <c r="A1176" s="148"/>
      <c r="B1176" s="132" t="s">
        <v>322</v>
      </c>
      <c r="C1176" s="133">
        <v>1907919.0</v>
      </c>
      <c r="D1176" s="149" t="s">
        <v>397</v>
      </c>
      <c r="E1176" s="150" t="s">
        <v>398</v>
      </c>
      <c r="F1176" s="151" t="s">
        <v>1177</v>
      </c>
      <c r="G1176" s="148"/>
    </row>
    <row r="1177" ht="15.75" customHeight="1">
      <c r="A1177" s="148"/>
      <c r="B1177" s="132" t="s">
        <v>322</v>
      </c>
      <c r="C1177" s="133">
        <v>1907920.0</v>
      </c>
      <c r="D1177" s="149" t="s">
        <v>397</v>
      </c>
      <c r="E1177" s="150" t="s">
        <v>398</v>
      </c>
      <c r="F1177" s="151" t="s">
        <v>1177</v>
      </c>
      <c r="G1177" s="148"/>
    </row>
    <row r="1178" ht="15.75" customHeight="1">
      <c r="A1178" s="148"/>
      <c r="B1178" s="132" t="s">
        <v>322</v>
      </c>
      <c r="C1178" s="133">
        <v>1907921.0</v>
      </c>
      <c r="D1178" s="149" t="s">
        <v>397</v>
      </c>
      <c r="E1178" s="150" t="s">
        <v>398</v>
      </c>
      <c r="F1178" s="151" t="s">
        <v>1177</v>
      </c>
      <c r="G1178" s="148"/>
    </row>
    <row r="1179" ht="15.75" customHeight="1">
      <c r="A1179" s="148"/>
      <c r="B1179" s="132" t="s">
        <v>322</v>
      </c>
      <c r="C1179" s="133">
        <v>1907922.0</v>
      </c>
      <c r="D1179" s="149" t="s">
        <v>397</v>
      </c>
      <c r="E1179" s="150" t="s">
        <v>398</v>
      </c>
      <c r="F1179" s="151" t="s">
        <v>1177</v>
      </c>
      <c r="G1179" s="148"/>
    </row>
    <row r="1180" ht="15.75" customHeight="1">
      <c r="A1180" s="148"/>
      <c r="B1180" s="132" t="s">
        <v>322</v>
      </c>
      <c r="C1180" s="133">
        <v>1907923.0</v>
      </c>
      <c r="D1180" s="149" t="s">
        <v>397</v>
      </c>
      <c r="E1180" s="150" t="s">
        <v>398</v>
      </c>
      <c r="F1180" s="151" t="s">
        <v>1177</v>
      </c>
      <c r="G1180" s="148"/>
    </row>
    <row r="1181" ht="15.75" customHeight="1">
      <c r="A1181" s="148"/>
      <c r="B1181" s="132" t="s">
        <v>322</v>
      </c>
      <c r="C1181" s="133">
        <v>1907924.0</v>
      </c>
      <c r="D1181" s="149" t="s">
        <v>397</v>
      </c>
      <c r="E1181" s="150" t="s">
        <v>398</v>
      </c>
      <c r="F1181" s="151" t="s">
        <v>1177</v>
      </c>
      <c r="G1181" s="148"/>
    </row>
    <row r="1182" ht="15.75" customHeight="1">
      <c r="A1182" s="148"/>
      <c r="B1182" s="132" t="s">
        <v>322</v>
      </c>
      <c r="C1182" s="133">
        <v>1907925.0</v>
      </c>
      <c r="D1182" s="149" t="s">
        <v>397</v>
      </c>
      <c r="E1182" s="150" t="s">
        <v>398</v>
      </c>
      <c r="F1182" s="151" t="s">
        <v>1177</v>
      </c>
      <c r="G1182" s="148"/>
    </row>
    <row r="1183" ht="15.75" customHeight="1">
      <c r="A1183" s="148"/>
      <c r="B1183" s="132" t="s">
        <v>322</v>
      </c>
      <c r="C1183" s="133">
        <v>1907926.0</v>
      </c>
      <c r="D1183" s="149" t="s">
        <v>397</v>
      </c>
      <c r="E1183" s="150" t="s">
        <v>398</v>
      </c>
      <c r="F1183" s="151" t="s">
        <v>1177</v>
      </c>
      <c r="G1183" s="148"/>
    </row>
    <row r="1184" ht="15.75" customHeight="1">
      <c r="A1184" s="148"/>
      <c r="B1184" s="132" t="s">
        <v>322</v>
      </c>
      <c r="C1184" s="133">
        <v>1907927.0</v>
      </c>
      <c r="D1184" s="149" t="s">
        <v>397</v>
      </c>
      <c r="E1184" s="150" t="s">
        <v>398</v>
      </c>
      <c r="F1184" s="151" t="s">
        <v>1177</v>
      </c>
      <c r="G1184" s="148"/>
    </row>
    <row r="1185" ht="15.75" customHeight="1">
      <c r="A1185" s="148"/>
      <c r="B1185" s="132" t="s">
        <v>322</v>
      </c>
      <c r="C1185" s="133">
        <v>1907928.0</v>
      </c>
      <c r="D1185" s="149" t="s">
        <v>397</v>
      </c>
      <c r="E1185" s="150" t="s">
        <v>398</v>
      </c>
      <c r="F1185" s="151" t="s">
        <v>1177</v>
      </c>
      <c r="G1185" s="148"/>
    </row>
    <row r="1186" ht="15.75" customHeight="1">
      <c r="A1186" s="148"/>
      <c r="B1186" s="132" t="s">
        <v>322</v>
      </c>
      <c r="C1186" s="133">
        <v>1907929.0</v>
      </c>
      <c r="D1186" s="149" t="s">
        <v>397</v>
      </c>
      <c r="E1186" s="150" t="s">
        <v>398</v>
      </c>
      <c r="F1186" s="151" t="s">
        <v>1177</v>
      </c>
      <c r="G1186" s="148"/>
    </row>
    <row r="1187" ht="15.75" customHeight="1">
      <c r="A1187" s="148"/>
      <c r="B1187" s="132" t="s">
        <v>322</v>
      </c>
      <c r="C1187" s="133">
        <v>1907930.0</v>
      </c>
      <c r="D1187" s="149" t="s">
        <v>397</v>
      </c>
      <c r="E1187" s="150" t="s">
        <v>398</v>
      </c>
      <c r="F1187" s="151" t="s">
        <v>1177</v>
      </c>
      <c r="G1187" s="148"/>
    </row>
    <row r="1188" ht="15.75" customHeight="1">
      <c r="A1188" s="148"/>
      <c r="B1188" s="132" t="s">
        <v>322</v>
      </c>
      <c r="C1188" s="133">
        <v>1907931.0</v>
      </c>
      <c r="D1188" s="149" t="s">
        <v>397</v>
      </c>
      <c r="E1188" s="150" t="s">
        <v>398</v>
      </c>
      <c r="F1188" s="151" t="s">
        <v>1177</v>
      </c>
      <c r="G1188" s="148"/>
    </row>
    <row r="1189" ht="15.75" customHeight="1">
      <c r="A1189" s="148"/>
      <c r="B1189" s="132" t="s">
        <v>322</v>
      </c>
      <c r="C1189" s="133">
        <v>1907932.0</v>
      </c>
      <c r="D1189" s="149" t="s">
        <v>397</v>
      </c>
      <c r="E1189" s="150" t="s">
        <v>398</v>
      </c>
      <c r="F1189" s="151" t="s">
        <v>1177</v>
      </c>
      <c r="G1189" s="148"/>
    </row>
    <row r="1190" ht="15.75" customHeight="1">
      <c r="A1190" s="148"/>
      <c r="B1190" s="132" t="s">
        <v>322</v>
      </c>
      <c r="C1190" s="133">
        <v>1907933.0</v>
      </c>
      <c r="D1190" s="149" t="s">
        <v>397</v>
      </c>
      <c r="E1190" s="150" t="s">
        <v>398</v>
      </c>
      <c r="F1190" s="151" t="s">
        <v>1177</v>
      </c>
      <c r="G1190" s="148"/>
    </row>
    <row r="1191" ht="15.75" customHeight="1">
      <c r="A1191" s="148"/>
      <c r="B1191" s="132" t="s">
        <v>322</v>
      </c>
      <c r="C1191" s="133">
        <v>1907934.0</v>
      </c>
      <c r="D1191" s="149" t="s">
        <v>397</v>
      </c>
      <c r="E1191" s="150" t="s">
        <v>398</v>
      </c>
      <c r="F1191" s="151" t="s">
        <v>1177</v>
      </c>
      <c r="G1191" s="148"/>
    </row>
    <row r="1192" ht="15.75" customHeight="1">
      <c r="A1192" s="148"/>
      <c r="B1192" s="132" t="s">
        <v>322</v>
      </c>
      <c r="C1192" s="133">
        <v>1907935.0</v>
      </c>
      <c r="D1192" s="149" t="s">
        <v>397</v>
      </c>
      <c r="E1192" s="150" t="s">
        <v>398</v>
      </c>
      <c r="F1192" s="151" t="s">
        <v>1177</v>
      </c>
      <c r="G1192" s="148"/>
    </row>
    <row r="1193" ht="15.75" customHeight="1">
      <c r="A1193" s="148"/>
      <c r="B1193" s="132" t="s">
        <v>322</v>
      </c>
      <c r="C1193" s="133">
        <v>1907936.0</v>
      </c>
      <c r="D1193" s="149" t="s">
        <v>397</v>
      </c>
      <c r="E1193" s="150" t="s">
        <v>398</v>
      </c>
      <c r="F1193" s="151" t="s">
        <v>1177</v>
      </c>
      <c r="G1193" s="148"/>
    </row>
    <row r="1194" ht="15.75" customHeight="1">
      <c r="A1194" s="148"/>
      <c r="B1194" s="132" t="s">
        <v>322</v>
      </c>
      <c r="C1194" s="133">
        <v>1907937.0</v>
      </c>
      <c r="D1194" s="149" t="s">
        <v>397</v>
      </c>
      <c r="E1194" s="150" t="s">
        <v>398</v>
      </c>
      <c r="F1194" s="151" t="s">
        <v>1177</v>
      </c>
      <c r="G1194" s="148"/>
    </row>
    <row r="1195" ht="15.75" customHeight="1">
      <c r="A1195" s="148"/>
      <c r="B1195" s="132" t="s">
        <v>322</v>
      </c>
      <c r="C1195" s="133">
        <v>1907938.0</v>
      </c>
      <c r="D1195" s="149" t="s">
        <v>397</v>
      </c>
      <c r="E1195" s="150" t="s">
        <v>398</v>
      </c>
      <c r="F1195" s="151" t="s">
        <v>1177</v>
      </c>
      <c r="G1195" s="148"/>
    </row>
    <row r="1196" ht="15.75" customHeight="1">
      <c r="A1196" s="148"/>
      <c r="B1196" s="132" t="s">
        <v>322</v>
      </c>
      <c r="C1196" s="133">
        <v>1907939.0</v>
      </c>
      <c r="D1196" s="149" t="s">
        <v>397</v>
      </c>
      <c r="E1196" s="150" t="s">
        <v>398</v>
      </c>
      <c r="F1196" s="151" t="s">
        <v>1177</v>
      </c>
      <c r="G1196" s="148"/>
    </row>
    <row r="1197" ht="15.75" customHeight="1">
      <c r="A1197" s="148"/>
      <c r="B1197" s="132" t="s">
        <v>322</v>
      </c>
      <c r="C1197" s="133">
        <v>1907940.0</v>
      </c>
      <c r="D1197" s="149" t="s">
        <v>397</v>
      </c>
      <c r="E1197" s="150" t="s">
        <v>398</v>
      </c>
      <c r="F1197" s="151" t="s">
        <v>1177</v>
      </c>
      <c r="G1197" s="148"/>
    </row>
    <row r="1198" ht="15.75" customHeight="1">
      <c r="A1198" s="148"/>
      <c r="B1198" s="132" t="s">
        <v>322</v>
      </c>
      <c r="C1198" s="133">
        <v>1907941.0</v>
      </c>
      <c r="D1198" s="149" t="s">
        <v>397</v>
      </c>
      <c r="E1198" s="150" t="s">
        <v>398</v>
      </c>
      <c r="F1198" s="151" t="s">
        <v>1177</v>
      </c>
      <c r="G1198" s="148"/>
    </row>
    <row r="1199" ht="15.75" customHeight="1">
      <c r="A1199" s="148"/>
      <c r="B1199" s="132" t="s">
        <v>322</v>
      </c>
      <c r="C1199" s="133">
        <v>1907942.0</v>
      </c>
      <c r="D1199" s="149" t="s">
        <v>397</v>
      </c>
      <c r="E1199" s="150" t="s">
        <v>398</v>
      </c>
      <c r="F1199" s="151" t="s">
        <v>1177</v>
      </c>
      <c r="G1199" s="148"/>
    </row>
    <row r="1200" ht="15.75" customHeight="1">
      <c r="A1200" s="148"/>
      <c r="B1200" s="132" t="s">
        <v>322</v>
      </c>
      <c r="C1200" s="133">
        <v>1907943.0</v>
      </c>
      <c r="D1200" s="149" t="s">
        <v>397</v>
      </c>
      <c r="E1200" s="150" t="s">
        <v>398</v>
      </c>
      <c r="F1200" s="151" t="s">
        <v>1177</v>
      </c>
      <c r="G1200" s="148"/>
    </row>
    <row r="1201" ht="15.75" customHeight="1">
      <c r="A1201" s="148"/>
      <c r="B1201" s="132" t="s">
        <v>322</v>
      </c>
      <c r="C1201" s="133">
        <v>1907944.0</v>
      </c>
      <c r="D1201" s="149" t="s">
        <v>397</v>
      </c>
      <c r="E1201" s="150" t="s">
        <v>398</v>
      </c>
      <c r="F1201" s="151" t="s">
        <v>1177</v>
      </c>
      <c r="G1201" s="148"/>
    </row>
    <row r="1202" ht="15.75" customHeight="1">
      <c r="A1202" s="148"/>
      <c r="B1202" s="132" t="s">
        <v>322</v>
      </c>
      <c r="C1202" s="133">
        <v>1907945.0</v>
      </c>
      <c r="D1202" s="149" t="s">
        <v>397</v>
      </c>
      <c r="E1202" s="150" t="s">
        <v>398</v>
      </c>
      <c r="F1202" s="151" t="s">
        <v>1177</v>
      </c>
      <c r="G1202" s="148"/>
    </row>
    <row r="1203" ht="15.75" customHeight="1">
      <c r="A1203" s="148"/>
      <c r="B1203" s="132" t="s">
        <v>322</v>
      </c>
      <c r="C1203" s="133">
        <v>1907946.0</v>
      </c>
      <c r="D1203" s="149" t="s">
        <v>397</v>
      </c>
      <c r="E1203" s="150" t="s">
        <v>398</v>
      </c>
      <c r="F1203" s="151" t="s">
        <v>1177</v>
      </c>
      <c r="G1203" s="148"/>
    </row>
    <row r="1204" ht="15.75" customHeight="1">
      <c r="A1204" s="148"/>
      <c r="B1204" s="132" t="s">
        <v>322</v>
      </c>
      <c r="C1204" s="133">
        <v>1907947.0</v>
      </c>
      <c r="D1204" s="149" t="s">
        <v>397</v>
      </c>
      <c r="E1204" s="150" t="s">
        <v>398</v>
      </c>
      <c r="F1204" s="151" t="s">
        <v>1177</v>
      </c>
      <c r="G1204" s="148"/>
    </row>
    <row r="1205" ht="15.75" customHeight="1">
      <c r="A1205" s="148"/>
      <c r="B1205" s="132" t="s">
        <v>322</v>
      </c>
      <c r="C1205" s="133">
        <v>1907948.0</v>
      </c>
      <c r="D1205" s="149" t="s">
        <v>397</v>
      </c>
      <c r="E1205" s="150" t="s">
        <v>398</v>
      </c>
      <c r="F1205" s="151" t="s">
        <v>1177</v>
      </c>
      <c r="G1205" s="148"/>
    </row>
    <row r="1206" ht="15.75" customHeight="1">
      <c r="A1206" s="148"/>
      <c r="B1206" s="132" t="s">
        <v>322</v>
      </c>
      <c r="C1206" s="133">
        <v>1907949.0</v>
      </c>
      <c r="D1206" s="149" t="s">
        <v>397</v>
      </c>
      <c r="E1206" s="150" t="s">
        <v>398</v>
      </c>
      <c r="F1206" s="151" t="s">
        <v>1177</v>
      </c>
      <c r="G1206" s="148"/>
    </row>
    <row r="1207" ht="15.75" customHeight="1">
      <c r="A1207" s="148"/>
      <c r="B1207" s="132" t="s">
        <v>322</v>
      </c>
      <c r="C1207" s="133">
        <v>1907950.0</v>
      </c>
      <c r="D1207" s="149" t="s">
        <v>397</v>
      </c>
      <c r="E1207" s="150" t="s">
        <v>398</v>
      </c>
      <c r="F1207" s="151" t="s">
        <v>1177</v>
      </c>
      <c r="G1207" s="148"/>
    </row>
    <row r="1208" ht="15.75" customHeight="1">
      <c r="A1208" s="148"/>
      <c r="B1208" s="132" t="s">
        <v>322</v>
      </c>
      <c r="C1208" s="133">
        <v>1907951.0</v>
      </c>
      <c r="D1208" s="149" t="s">
        <v>397</v>
      </c>
      <c r="E1208" s="150" t="s">
        <v>398</v>
      </c>
      <c r="F1208" s="151" t="s">
        <v>1177</v>
      </c>
      <c r="G1208" s="148"/>
    </row>
    <row r="1209" ht="15.75" customHeight="1">
      <c r="A1209" s="148"/>
      <c r="B1209" s="132" t="s">
        <v>322</v>
      </c>
      <c r="C1209" s="133">
        <v>1907952.0</v>
      </c>
      <c r="D1209" s="149" t="s">
        <v>397</v>
      </c>
      <c r="E1209" s="150" t="s">
        <v>398</v>
      </c>
      <c r="F1209" s="151" t="s">
        <v>1177</v>
      </c>
      <c r="G1209" s="148"/>
    </row>
    <row r="1210" ht="15.75" customHeight="1">
      <c r="A1210" s="148"/>
      <c r="B1210" s="132" t="s">
        <v>322</v>
      </c>
      <c r="C1210" s="133">
        <v>1907953.0</v>
      </c>
      <c r="D1210" s="149" t="s">
        <v>397</v>
      </c>
      <c r="E1210" s="150" t="s">
        <v>398</v>
      </c>
      <c r="F1210" s="151" t="s">
        <v>1177</v>
      </c>
      <c r="G1210" s="148"/>
    </row>
    <row r="1211" ht="15.75" customHeight="1">
      <c r="A1211" s="148"/>
      <c r="B1211" s="132" t="s">
        <v>322</v>
      </c>
      <c r="C1211" s="133">
        <v>1907954.0</v>
      </c>
      <c r="D1211" s="149" t="s">
        <v>397</v>
      </c>
      <c r="E1211" s="150" t="s">
        <v>398</v>
      </c>
      <c r="F1211" s="151" t="s">
        <v>1177</v>
      </c>
      <c r="G1211" s="148"/>
    </row>
    <row r="1212" ht="15.75" customHeight="1">
      <c r="A1212" s="148"/>
      <c r="B1212" s="132" t="s">
        <v>322</v>
      </c>
      <c r="C1212" s="133">
        <v>1907955.0</v>
      </c>
      <c r="D1212" s="149" t="s">
        <v>397</v>
      </c>
      <c r="E1212" s="150" t="s">
        <v>398</v>
      </c>
      <c r="F1212" s="151" t="s">
        <v>1177</v>
      </c>
      <c r="G1212" s="148"/>
    </row>
    <row r="1213" ht="15.75" customHeight="1">
      <c r="A1213" s="148"/>
      <c r="B1213" s="132" t="s">
        <v>322</v>
      </c>
      <c r="C1213" s="133">
        <v>1907956.0</v>
      </c>
      <c r="D1213" s="149" t="s">
        <v>397</v>
      </c>
      <c r="E1213" s="150" t="s">
        <v>398</v>
      </c>
      <c r="F1213" s="151" t="s">
        <v>1177</v>
      </c>
      <c r="G1213" s="148"/>
    </row>
    <row r="1214" ht="15.75" customHeight="1">
      <c r="A1214" s="148"/>
      <c r="B1214" s="132" t="s">
        <v>322</v>
      </c>
      <c r="C1214" s="133">
        <v>1907957.0</v>
      </c>
      <c r="D1214" s="149" t="s">
        <v>397</v>
      </c>
      <c r="E1214" s="150" t="s">
        <v>398</v>
      </c>
      <c r="F1214" s="151" t="s">
        <v>1177</v>
      </c>
      <c r="G1214" s="148"/>
    </row>
    <row r="1215" ht="15.75" customHeight="1">
      <c r="A1215" s="148"/>
      <c r="B1215" s="132" t="s">
        <v>322</v>
      </c>
      <c r="C1215" s="133">
        <v>1907958.0</v>
      </c>
      <c r="D1215" s="149" t="s">
        <v>397</v>
      </c>
      <c r="E1215" s="150" t="s">
        <v>398</v>
      </c>
      <c r="F1215" s="151" t="s">
        <v>1177</v>
      </c>
      <c r="G1215" s="148"/>
    </row>
    <row r="1216" ht="15.75" customHeight="1">
      <c r="A1216" s="148"/>
      <c r="B1216" s="132" t="s">
        <v>322</v>
      </c>
      <c r="C1216" s="133">
        <v>1907959.0</v>
      </c>
      <c r="D1216" s="149" t="s">
        <v>397</v>
      </c>
      <c r="E1216" s="150" t="s">
        <v>398</v>
      </c>
      <c r="F1216" s="151" t="s">
        <v>1177</v>
      </c>
      <c r="G1216" s="148"/>
    </row>
    <row r="1217" ht="15.75" customHeight="1">
      <c r="A1217" s="148"/>
      <c r="B1217" s="132" t="s">
        <v>322</v>
      </c>
      <c r="C1217" s="133">
        <v>1907960.0</v>
      </c>
      <c r="D1217" s="149" t="s">
        <v>397</v>
      </c>
      <c r="E1217" s="150" t="s">
        <v>398</v>
      </c>
      <c r="F1217" s="151" t="s">
        <v>1177</v>
      </c>
      <c r="G1217" s="148"/>
    </row>
    <row r="1218" ht="15.75" customHeight="1">
      <c r="A1218" s="148"/>
      <c r="B1218" s="132" t="s">
        <v>322</v>
      </c>
      <c r="C1218" s="133">
        <v>1907961.0</v>
      </c>
      <c r="D1218" s="149" t="s">
        <v>397</v>
      </c>
      <c r="E1218" s="150" t="s">
        <v>398</v>
      </c>
      <c r="F1218" s="151" t="s">
        <v>1177</v>
      </c>
      <c r="G1218" s="148"/>
    </row>
    <row r="1219" ht="15.75" customHeight="1">
      <c r="A1219" s="148"/>
      <c r="B1219" s="132" t="s">
        <v>322</v>
      </c>
      <c r="C1219" s="133">
        <v>1907962.0</v>
      </c>
      <c r="D1219" s="149" t="s">
        <v>397</v>
      </c>
      <c r="E1219" s="150" t="s">
        <v>398</v>
      </c>
      <c r="F1219" s="151" t="s">
        <v>1177</v>
      </c>
      <c r="G1219" s="148"/>
    </row>
    <row r="1220" ht="15.75" customHeight="1">
      <c r="A1220" s="148"/>
      <c r="B1220" s="132" t="s">
        <v>322</v>
      </c>
      <c r="C1220" s="133">
        <v>1907963.0</v>
      </c>
      <c r="D1220" s="149" t="s">
        <v>397</v>
      </c>
      <c r="E1220" s="150" t="s">
        <v>398</v>
      </c>
      <c r="F1220" s="151" t="s">
        <v>1177</v>
      </c>
      <c r="G1220" s="148"/>
    </row>
    <row r="1221" ht="15.75" customHeight="1">
      <c r="A1221" s="148"/>
      <c r="B1221" s="132" t="s">
        <v>322</v>
      </c>
      <c r="C1221" s="133">
        <v>1907964.0</v>
      </c>
      <c r="D1221" s="149" t="s">
        <v>397</v>
      </c>
      <c r="E1221" s="150" t="s">
        <v>398</v>
      </c>
      <c r="F1221" s="151" t="s">
        <v>1177</v>
      </c>
      <c r="G1221" s="148"/>
    </row>
    <row r="1222" ht="15.75" customHeight="1">
      <c r="A1222" s="148"/>
      <c r="B1222" s="132" t="s">
        <v>322</v>
      </c>
      <c r="C1222" s="133">
        <v>1907965.0</v>
      </c>
      <c r="D1222" s="149" t="s">
        <v>397</v>
      </c>
      <c r="E1222" s="150" t="s">
        <v>398</v>
      </c>
      <c r="F1222" s="151" t="s">
        <v>1177</v>
      </c>
      <c r="G1222" s="148"/>
    </row>
    <row r="1223" ht="15.75" customHeight="1">
      <c r="A1223" s="148"/>
      <c r="B1223" s="132" t="s">
        <v>322</v>
      </c>
      <c r="C1223" s="133">
        <v>1907966.0</v>
      </c>
      <c r="D1223" s="149" t="s">
        <v>397</v>
      </c>
      <c r="E1223" s="150" t="s">
        <v>398</v>
      </c>
      <c r="F1223" s="151" t="s">
        <v>1177</v>
      </c>
      <c r="G1223" s="148"/>
    </row>
    <row r="1224" ht="15.75" customHeight="1">
      <c r="A1224" s="148"/>
      <c r="B1224" s="132" t="s">
        <v>322</v>
      </c>
      <c r="C1224" s="133">
        <v>1907967.0</v>
      </c>
      <c r="D1224" s="149" t="s">
        <v>397</v>
      </c>
      <c r="E1224" s="150" t="s">
        <v>398</v>
      </c>
      <c r="F1224" s="151" t="s">
        <v>1177</v>
      </c>
      <c r="G1224" s="148"/>
    </row>
    <row r="1225" ht="15.75" customHeight="1">
      <c r="A1225" s="148"/>
      <c r="B1225" s="132" t="s">
        <v>322</v>
      </c>
      <c r="C1225" s="133">
        <v>1907968.0</v>
      </c>
      <c r="D1225" s="149" t="s">
        <v>397</v>
      </c>
      <c r="E1225" s="150" t="s">
        <v>398</v>
      </c>
      <c r="F1225" s="151" t="s">
        <v>1177</v>
      </c>
      <c r="G1225" s="148"/>
    </row>
    <row r="1226" ht="15.75" customHeight="1">
      <c r="A1226" s="148"/>
      <c r="B1226" s="132" t="s">
        <v>322</v>
      </c>
      <c r="C1226" s="133">
        <v>1907969.0</v>
      </c>
      <c r="D1226" s="149" t="s">
        <v>397</v>
      </c>
      <c r="E1226" s="150" t="s">
        <v>398</v>
      </c>
      <c r="F1226" s="151" t="s">
        <v>1177</v>
      </c>
      <c r="G1226" s="148"/>
    </row>
    <row r="1227" ht="15.75" customHeight="1">
      <c r="A1227" s="148"/>
      <c r="B1227" s="132" t="s">
        <v>322</v>
      </c>
      <c r="C1227" s="133">
        <v>1907970.0</v>
      </c>
      <c r="D1227" s="149" t="s">
        <v>397</v>
      </c>
      <c r="E1227" s="150" t="s">
        <v>398</v>
      </c>
      <c r="F1227" s="151" t="s">
        <v>1177</v>
      </c>
      <c r="G1227" s="148"/>
    </row>
    <row r="1228" ht="15.75" customHeight="1">
      <c r="A1228" s="148"/>
      <c r="B1228" s="132" t="s">
        <v>322</v>
      </c>
      <c r="C1228" s="133">
        <v>1907971.0</v>
      </c>
      <c r="D1228" s="149" t="s">
        <v>397</v>
      </c>
      <c r="E1228" s="150" t="s">
        <v>398</v>
      </c>
      <c r="F1228" s="151" t="s">
        <v>1177</v>
      </c>
      <c r="G1228" s="148"/>
    </row>
    <row r="1229" ht="15.75" customHeight="1">
      <c r="A1229" s="148"/>
      <c r="B1229" s="132" t="s">
        <v>322</v>
      </c>
      <c r="C1229" s="133">
        <v>1907972.0</v>
      </c>
      <c r="D1229" s="149" t="s">
        <v>397</v>
      </c>
      <c r="E1229" s="150" t="s">
        <v>398</v>
      </c>
      <c r="F1229" s="151" t="s">
        <v>1177</v>
      </c>
      <c r="G1229" s="148"/>
    </row>
    <row r="1230" ht="15.75" customHeight="1">
      <c r="A1230" s="148"/>
      <c r="B1230" s="132" t="s">
        <v>322</v>
      </c>
      <c r="C1230" s="133">
        <v>1907973.0</v>
      </c>
      <c r="D1230" s="149" t="s">
        <v>397</v>
      </c>
      <c r="E1230" s="150" t="s">
        <v>398</v>
      </c>
      <c r="F1230" s="151" t="s">
        <v>1177</v>
      </c>
      <c r="G1230" s="148"/>
    </row>
    <row r="1231" ht="15.75" customHeight="1">
      <c r="A1231" s="148"/>
      <c r="B1231" s="132" t="s">
        <v>322</v>
      </c>
      <c r="C1231" s="133">
        <v>1907974.0</v>
      </c>
      <c r="D1231" s="149" t="s">
        <v>397</v>
      </c>
      <c r="E1231" s="150" t="s">
        <v>398</v>
      </c>
      <c r="F1231" s="151" t="s">
        <v>1177</v>
      </c>
      <c r="G1231" s="148"/>
    </row>
    <row r="1232" ht="15.75" customHeight="1">
      <c r="A1232" s="148"/>
      <c r="B1232" s="132" t="s">
        <v>322</v>
      </c>
      <c r="C1232" s="133">
        <v>1907975.0</v>
      </c>
      <c r="D1232" s="149" t="s">
        <v>397</v>
      </c>
      <c r="E1232" s="150" t="s">
        <v>398</v>
      </c>
      <c r="F1232" s="151" t="s">
        <v>1177</v>
      </c>
      <c r="G1232" s="148"/>
    </row>
    <row r="1233" ht="15.75" customHeight="1">
      <c r="A1233" s="148"/>
      <c r="B1233" s="132" t="s">
        <v>322</v>
      </c>
      <c r="C1233" s="133">
        <v>1907976.0</v>
      </c>
      <c r="D1233" s="149" t="s">
        <v>397</v>
      </c>
      <c r="E1233" s="150" t="s">
        <v>398</v>
      </c>
      <c r="F1233" s="151" t="s">
        <v>1177</v>
      </c>
      <c r="G1233" s="148"/>
    </row>
    <row r="1234" ht="15.75" customHeight="1">
      <c r="A1234" s="148"/>
      <c r="B1234" s="132" t="s">
        <v>322</v>
      </c>
      <c r="C1234" s="133">
        <v>1907977.0</v>
      </c>
      <c r="D1234" s="149" t="s">
        <v>397</v>
      </c>
      <c r="E1234" s="150" t="s">
        <v>398</v>
      </c>
      <c r="F1234" s="151" t="s">
        <v>1177</v>
      </c>
      <c r="G1234" s="148"/>
    </row>
    <row r="1235" ht="15.75" customHeight="1">
      <c r="A1235" s="148"/>
      <c r="B1235" s="132" t="s">
        <v>322</v>
      </c>
      <c r="C1235" s="133">
        <v>1907978.0</v>
      </c>
      <c r="D1235" s="149" t="s">
        <v>397</v>
      </c>
      <c r="E1235" s="150" t="s">
        <v>398</v>
      </c>
      <c r="F1235" s="151" t="s">
        <v>1177</v>
      </c>
      <c r="G1235" s="148"/>
    </row>
    <row r="1236" ht="15.75" customHeight="1">
      <c r="A1236" s="148"/>
      <c r="B1236" s="132" t="s">
        <v>322</v>
      </c>
      <c r="C1236" s="133">
        <v>1907979.0</v>
      </c>
      <c r="D1236" s="149" t="s">
        <v>397</v>
      </c>
      <c r="E1236" s="150" t="s">
        <v>398</v>
      </c>
      <c r="F1236" s="151" t="s">
        <v>1177</v>
      </c>
      <c r="G1236" s="148"/>
    </row>
    <row r="1237" ht="15.75" customHeight="1">
      <c r="A1237" s="148"/>
      <c r="B1237" s="132" t="s">
        <v>322</v>
      </c>
      <c r="C1237" s="133">
        <v>1907980.0</v>
      </c>
      <c r="D1237" s="149" t="s">
        <v>397</v>
      </c>
      <c r="E1237" s="150" t="s">
        <v>398</v>
      </c>
      <c r="F1237" s="151" t="s">
        <v>1177</v>
      </c>
      <c r="G1237" s="148"/>
    </row>
    <row r="1238" ht="15.75" customHeight="1">
      <c r="A1238" s="148"/>
      <c r="B1238" s="132" t="s">
        <v>322</v>
      </c>
      <c r="C1238" s="133">
        <v>1907981.0</v>
      </c>
      <c r="D1238" s="149" t="s">
        <v>397</v>
      </c>
      <c r="E1238" s="150" t="s">
        <v>398</v>
      </c>
      <c r="F1238" s="151" t="s">
        <v>1177</v>
      </c>
      <c r="G1238" s="148"/>
    </row>
    <row r="1239" ht="15.75" customHeight="1">
      <c r="A1239" s="148"/>
      <c r="B1239" s="132" t="s">
        <v>322</v>
      </c>
      <c r="C1239" s="133">
        <v>1907982.0</v>
      </c>
      <c r="D1239" s="149" t="s">
        <v>397</v>
      </c>
      <c r="E1239" s="150" t="s">
        <v>398</v>
      </c>
      <c r="F1239" s="151" t="s">
        <v>1177</v>
      </c>
      <c r="G1239" s="148"/>
    </row>
    <row r="1240" ht="15.75" customHeight="1">
      <c r="A1240" s="148"/>
      <c r="B1240" s="132" t="s">
        <v>322</v>
      </c>
      <c r="C1240" s="133">
        <v>1907983.0</v>
      </c>
      <c r="D1240" s="149" t="s">
        <v>397</v>
      </c>
      <c r="E1240" s="150" t="s">
        <v>398</v>
      </c>
      <c r="F1240" s="151" t="s">
        <v>1177</v>
      </c>
      <c r="G1240" s="148"/>
    </row>
    <row r="1241" ht="15.75" customHeight="1">
      <c r="A1241" s="148"/>
      <c r="B1241" s="132" t="s">
        <v>322</v>
      </c>
      <c r="C1241" s="133">
        <v>1907984.0</v>
      </c>
      <c r="D1241" s="149" t="s">
        <v>397</v>
      </c>
      <c r="E1241" s="150" t="s">
        <v>398</v>
      </c>
      <c r="F1241" s="151" t="s">
        <v>1177</v>
      </c>
      <c r="G1241" s="148"/>
    </row>
    <row r="1242" ht="15.75" customHeight="1">
      <c r="A1242" s="148"/>
      <c r="B1242" s="132" t="s">
        <v>322</v>
      </c>
      <c r="C1242" s="133">
        <v>1907985.0</v>
      </c>
      <c r="D1242" s="149" t="s">
        <v>397</v>
      </c>
      <c r="E1242" s="150" t="s">
        <v>398</v>
      </c>
      <c r="F1242" s="151" t="s">
        <v>1177</v>
      </c>
      <c r="G1242" s="148"/>
    </row>
    <row r="1243" ht="15.75" customHeight="1">
      <c r="A1243" s="148"/>
      <c r="B1243" s="132" t="s">
        <v>322</v>
      </c>
      <c r="C1243" s="133">
        <v>1907986.0</v>
      </c>
      <c r="D1243" s="149" t="s">
        <v>397</v>
      </c>
      <c r="E1243" s="150" t="s">
        <v>398</v>
      </c>
      <c r="F1243" s="151" t="s">
        <v>1177</v>
      </c>
      <c r="G1243" s="148"/>
    </row>
    <row r="1244" ht="15.75" customHeight="1">
      <c r="A1244" s="148"/>
      <c r="B1244" s="132" t="s">
        <v>322</v>
      </c>
      <c r="C1244" s="133">
        <v>1907987.0</v>
      </c>
      <c r="D1244" s="149" t="s">
        <v>397</v>
      </c>
      <c r="E1244" s="150" t="s">
        <v>398</v>
      </c>
      <c r="F1244" s="151" t="s">
        <v>1177</v>
      </c>
      <c r="G1244" s="148"/>
    </row>
    <row r="1245" ht="15.75" customHeight="1">
      <c r="A1245" s="148"/>
      <c r="B1245" s="132" t="s">
        <v>322</v>
      </c>
      <c r="C1245" s="133">
        <v>1907988.0</v>
      </c>
      <c r="D1245" s="149" t="s">
        <v>397</v>
      </c>
      <c r="E1245" s="150" t="s">
        <v>398</v>
      </c>
      <c r="F1245" s="151" t="s">
        <v>1177</v>
      </c>
      <c r="G1245" s="148"/>
    </row>
    <row r="1246" ht="15.75" customHeight="1">
      <c r="A1246" s="148"/>
      <c r="B1246" s="132" t="s">
        <v>322</v>
      </c>
      <c r="C1246" s="133">
        <v>1907989.0</v>
      </c>
      <c r="D1246" s="149" t="s">
        <v>397</v>
      </c>
      <c r="E1246" s="150" t="s">
        <v>398</v>
      </c>
      <c r="F1246" s="151" t="s">
        <v>1177</v>
      </c>
      <c r="G1246" s="148"/>
    </row>
    <row r="1247" ht="15.75" customHeight="1">
      <c r="A1247" s="148"/>
      <c r="B1247" s="132" t="s">
        <v>322</v>
      </c>
      <c r="C1247" s="133">
        <v>1907990.0</v>
      </c>
      <c r="D1247" s="149" t="s">
        <v>397</v>
      </c>
      <c r="E1247" s="150" t="s">
        <v>398</v>
      </c>
      <c r="F1247" s="151" t="s">
        <v>1177</v>
      </c>
      <c r="G1247" s="148"/>
    </row>
    <row r="1248" ht="15.75" customHeight="1">
      <c r="A1248" s="148"/>
      <c r="B1248" s="132" t="s">
        <v>322</v>
      </c>
      <c r="C1248" s="133">
        <v>1907991.0</v>
      </c>
      <c r="D1248" s="149" t="s">
        <v>397</v>
      </c>
      <c r="E1248" s="150" t="s">
        <v>398</v>
      </c>
      <c r="F1248" s="151" t="s">
        <v>1177</v>
      </c>
      <c r="G1248" s="148"/>
    </row>
    <row r="1249" ht="15.75" customHeight="1">
      <c r="A1249" s="148"/>
      <c r="B1249" s="132" t="s">
        <v>322</v>
      </c>
      <c r="C1249" s="133">
        <v>1907993.0</v>
      </c>
      <c r="D1249" s="149" t="s">
        <v>397</v>
      </c>
      <c r="E1249" s="150" t="s">
        <v>398</v>
      </c>
      <c r="F1249" s="151" t="s">
        <v>1177</v>
      </c>
      <c r="G1249" s="148"/>
    </row>
    <row r="1250" ht="15.75" customHeight="1">
      <c r="A1250" s="148"/>
      <c r="B1250" s="132" t="s">
        <v>322</v>
      </c>
      <c r="C1250" s="133">
        <v>1907994.0</v>
      </c>
      <c r="D1250" s="149" t="s">
        <v>397</v>
      </c>
      <c r="E1250" s="150" t="s">
        <v>398</v>
      </c>
      <c r="F1250" s="151" t="s">
        <v>1177</v>
      </c>
      <c r="G1250" s="148"/>
    </row>
    <row r="1251" ht="15.75" customHeight="1">
      <c r="A1251" s="148"/>
      <c r="B1251" s="132" t="s">
        <v>322</v>
      </c>
      <c r="C1251" s="133">
        <v>1907995.0</v>
      </c>
      <c r="D1251" s="149" t="s">
        <v>397</v>
      </c>
      <c r="E1251" s="150" t="s">
        <v>398</v>
      </c>
      <c r="F1251" s="151" t="s">
        <v>1177</v>
      </c>
      <c r="G1251" s="148"/>
    </row>
    <row r="1252" ht="15.75" customHeight="1">
      <c r="A1252" s="148"/>
      <c r="B1252" s="132" t="s">
        <v>322</v>
      </c>
      <c r="C1252" s="133">
        <v>1907996.0</v>
      </c>
      <c r="D1252" s="149" t="s">
        <v>397</v>
      </c>
      <c r="E1252" s="150" t="s">
        <v>398</v>
      </c>
      <c r="F1252" s="151" t="s">
        <v>1177</v>
      </c>
      <c r="G1252" s="148"/>
    </row>
    <row r="1253" ht="15.75" customHeight="1">
      <c r="A1253" s="148"/>
      <c r="B1253" s="132" t="s">
        <v>322</v>
      </c>
      <c r="C1253" s="133">
        <v>1907997.0</v>
      </c>
      <c r="D1253" s="149" t="s">
        <v>397</v>
      </c>
      <c r="E1253" s="150" t="s">
        <v>398</v>
      </c>
      <c r="F1253" s="151" t="s">
        <v>1177</v>
      </c>
      <c r="G1253" s="148"/>
    </row>
    <row r="1254" ht="15.75" customHeight="1">
      <c r="A1254" s="148"/>
      <c r="B1254" s="132" t="s">
        <v>322</v>
      </c>
      <c r="C1254" s="133">
        <v>1907998.0</v>
      </c>
      <c r="D1254" s="149" t="s">
        <v>397</v>
      </c>
      <c r="E1254" s="150" t="s">
        <v>398</v>
      </c>
      <c r="F1254" s="151" t="s">
        <v>1177</v>
      </c>
      <c r="G1254" s="148"/>
    </row>
    <row r="1255" ht="15.75" customHeight="1">
      <c r="A1255" s="148"/>
      <c r="B1255" s="132" t="s">
        <v>322</v>
      </c>
      <c r="C1255" s="133">
        <v>1907999.0</v>
      </c>
      <c r="D1255" s="149" t="s">
        <v>397</v>
      </c>
      <c r="E1255" s="150" t="s">
        <v>398</v>
      </c>
      <c r="F1255" s="151" t="s">
        <v>1177</v>
      </c>
      <c r="G1255" s="148"/>
    </row>
    <row r="1256" ht="15.75" customHeight="1">
      <c r="A1256" s="148"/>
      <c r="B1256" s="132" t="s">
        <v>322</v>
      </c>
      <c r="C1256" s="133">
        <v>1908000.0</v>
      </c>
      <c r="D1256" s="149" t="s">
        <v>397</v>
      </c>
      <c r="E1256" s="150" t="s">
        <v>398</v>
      </c>
      <c r="F1256" s="151" t="s">
        <v>1177</v>
      </c>
      <c r="G1256" s="148"/>
    </row>
    <row r="1257" ht="15.75" customHeight="1">
      <c r="A1257" s="148"/>
      <c r="B1257" s="132" t="s">
        <v>322</v>
      </c>
      <c r="C1257" s="133">
        <v>1908001.0</v>
      </c>
      <c r="D1257" s="149" t="s">
        <v>397</v>
      </c>
      <c r="E1257" s="150" t="s">
        <v>398</v>
      </c>
      <c r="F1257" s="151" t="s">
        <v>1177</v>
      </c>
      <c r="G1257" s="148"/>
    </row>
    <row r="1258" ht="15.75" customHeight="1">
      <c r="A1258" s="148"/>
      <c r="B1258" s="132" t="s">
        <v>322</v>
      </c>
      <c r="C1258" s="133">
        <v>1908002.0</v>
      </c>
      <c r="D1258" s="149" t="s">
        <v>397</v>
      </c>
      <c r="E1258" s="150" t="s">
        <v>398</v>
      </c>
      <c r="F1258" s="151" t="s">
        <v>1177</v>
      </c>
      <c r="G1258" s="148"/>
    </row>
    <row r="1259" ht="15.75" customHeight="1">
      <c r="A1259" s="148"/>
      <c r="B1259" s="132" t="s">
        <v>322</v>
      </c>
      <c r="C1259" s="133">
        <v>1908003.0</v>
      </c>
      <c r="D1259" s="149" t="s">
        <v>397</v>
      </c>
      <c r="E1259" s="150" t="s">
        <v>398</v>
      </c>
      <c r="F1259" s="151" t="s">
        <v>1177</v>
      </c>
      <c r="G1259" s="148"/>
    </row>
    <row r="1260" ht="15.75" customHeight="1">
      <c r="A1260" s="148"/>
      <c r="B1260" s="132" t="s">
        <v>322</v>
      </c>
      <c r="C1260" s="133">
        <v>1908004.0</v>
      </c>
      <c r="D1260" s="149" t="s">
        <v>397</v>
      </c>
      <c r="E1260" s="150" t="s">
        <v>398</v>
      </c>
      <c r="F1260" s="151" t="s">
        <v>1177</v>
      </c>
      <c r="G1260" s="148"/>
    </row>
    <row r="1261" ht="15.75" customHeight="1">
      <c r="A1261" s="148"/>
      <c r="B1261" s="132" t="s">
        <v>322</v>
      </c>
      <c r="C1261" s="133">
        <v>1908005.0</v>
      </c>
      <c r="D1261" s="149" t="s">
        <v>397</v>
      </c>
      <c r="E1261" s="150" t="s">
        <v>398</v>
      </c>
      <c r="F1261" s="151" t="s">
        <v>1177</v>
      </c>
      <c r="G1261" s="148"/>
    </row>
    <row r="1262" ht="15.75" customHeight="1">
      <c r="A1262" s="148"/>
      <c r="B1262" s="132" t="s">
        <v>322</v>
      </c>
      <c r="C1262" s="133">
        <v>1908006.0</v>
      </c>
      <c r="D1262" s="149" t="s">
        <v>397</v>
      </c>
      <c r="E1262" s="150" t="s">
        <v>398</v>
      </c>
      <c r="F1262" s="151" t="s">
        <v>1177</v>
      </c>
      <c r="G1262" s="148"/>
    </row>
    <row r="1263" ht="15.75" customHeight="1">
      <c r="A1263" s="148"/>
      <c r="B1263" s="132" t="s">
        <v>322</v>
      </c>
      <c r="C1263" s="133">
        <v>1908007.0</v>
      </c>
      <c r="D1263" s="149" t="s">
        <v>397</v>
      </c>
      <c r="E1263" s="150" t="s">
        <v>398</v>
      </c>
      <c r="F1263" s="151" t="s">
        <v>1177</v>
      </c>
      <c r="G1263" s="148"/>
    </row>
    <row r="1264" ht="15.75" customHeight="1">
      <c r="A1264" s="148"/>
      <c r="B1264" s="132" t="s">
        <v>322</v>
      </c>
      <c r="C1264" s="133">
        <v>1908008.0</v>
      </c>
      <c r="D1264" s="149" t="s">
        <v>397</v>
      </c>
      <c r="E1264" s="150" t="s">
        <v>398</v>
      </c>
      <c r="F1264" s="151" t="s">
        <v>1177</v>
      </c>
      <c r="G1264" s="148"/>
    </row>
    <row r="1265" ht="15.75" customHeight="1">
      <c r="A1265" s="148"/>
      <c r="B1265" s="132" t="s">
        <v>322</v>
      </c>
      <c r="C1265" s="133">
        <v>1908009.0</v>
      </c>
      <c r="D1265" s="149" t="s">
        <v>397</v>
      </c>
      <c r="E1265" s="150" t="s">
        <v>398</v>
      </c>
      <c r="F1265" s="151" t="s">
        <v>1177</v>
      </c>
      <c r="G1265" s="148"/>
    </row>
    <row r="1266" ht="15.75" customHeight="1">
      <c r="A1266" s="148"/>
      <c r="B1266" s="132" t="s">
        <v>322</v>
      </c>
      <c r="C1266" s="133">
        <v>1908010.0</v>
      </c>
      <c r="D1266" s="149" t="s">
        <v>397</v>
      </c>
      <c r="E1266" s="150" t="s">
        <v>398</v>
      </c>
      <c r="F1266" s="151" t="s">
        <v>1177</v>
      </c>
      <c r="G1266" s="148"/>
    </row>
    <row r="1267" ht="15.75" customHeight="1">
      <c r="A1267" s="148"/>
      <c r="B1267" s="132" t="s">
        <v>322</v>
      </c>
      <c r="C1267" s="133">
        <v>1908011.0</v>
      </c>
      <c r="D1267" s="149" t="s">
        <v>397</v>
      </c>
      <c r="E1267" s="150" t="s">
        <v>398</v>
      </c>
      <c r="F1267" s="151" t="s">
        <v>1177</v>
      </c>
      <c r="G1267" s="148"/>
    </row>
    <row r="1268" ht="15.75" customHeight="1">
      <c r="A1268" s="148"/>
      <c r="B1268" s="132" t="s">
        <v>322</v>
      </c>
      <c r="C1268" s="133">
        <v>1908012.0</v>
      </c>
      <c r="D1268" s="149" t="s">
        <v>397</v>
      </c>
      <c r="E1268" s="150" t="s">
        <v>398</v>
      </c>
      <c r="F1268" s="151" t="s">
        <v>1177</v>
      </c>
      <c r="G1268" s="148"/>
    </row>
    <row r="1269" ht="15.75" customHeight="1">
      <c r="A1269" s="148"/>
      <c r="B1269" s="132" t="s">
        <v>322</v>
      </c>
      <c r="C1269" s="133">
        <v>1908013.0</v>
      </c>
      <c r="D1269" s="149" t="s">
        <v>397</v>
      </c>
      <c r="E1269" s="150" t="s">
        <v>398</v>
      </c>
      <c r="F1269" s="151" t="s">
        <v>1177</v>
      </c>
      <c r="G1269" s="148"/>
    </row>
    <row r="1270" ht="15.75" customHeight="1">
      <c r="A1270" s="148"/>
      <c r="B1270" s="132" t="s">
        <v>322</v>
      </c>
      <c r="C1270" s="133">
        <v>1908014.0</v>
      </c>
      <c r="D1270" s="149" t="s">
        <v>397</v>
      </c>
      <c r="E1270" s="150" t="s">
        <v>398</v>
      </c>
      <c r="F1270" s="151" t="s">
        <v>1177</v>
      </c>
      <c r="G1270" s="148"/>
    </row>
    <row r="1271" ht="15.75" customHeight="1">
      <c r="A1271" s="148"/>
      <c r="B1271" s="132" t="s">
        <v>322</v>
      </c>
      <c r="C1271" s="133">
        <v>1908015.0</v>
      </c>
      <c r="D1271" s="149" t="s">
        <v>397</v>
      </c>
      <c r="E1271" s="150" t="s">
        <v>398</v>
      </c>
      <c r="F1271" s="151" t="s">
        <v>1177</v>
      </c>
      <c r="G1271" s="148"/>
    </row>
    <row r="1272" ht="15.75" customHeight="1">
      <c r="A1272" s="148"/>
      <c r="B1272" s="132" t="s">
        <v>322</v>
      </c>
      <c r="C1272" s="133">
        <v>1908016.0</v>
      </c>
      <c r="D1272" s="149" t="s">
        <v>397</v>
      </c>
      <c r="E1272" s="150" t="s">
        <v>398</v>
      </c>
      <c r="F1272" s="151" t="s">
        <v>1177</v>
      </c>
      <c r="G1272" s="148"/>
    </row>
    <row r="1273" ht="15.75" customHeight="1">
      <c r="A1273" s="148"/>
      <c r="B1273" s="132" t="s">
        <v>322</v>
      </c>
      <c r="C1273" s="133">
        <v>1908017.0</v>
      </c>
      <c r="D1273" s="149" t="s">
        <v>397</v>
      </c>
      <c r="E1273" s="150" t="s">
        <v>398</v>
      </c>
      <c r="F1273" s="151" t="s">
        <v>1177</v>
      </c>
      <c r="G1273" s="148"/>
    </row>
    <row r="1274" ht="15.75" customHeight="1">
      <c r="A1274" s="148"/>
      <c r="B1274" s="132" t="s">
        <v>322</v>
      </c>
      <c r="C1274" s="133">
        <v>1908018.0</v>
      </c>
      <c r="D1274" s="149" t="s">
        <v>397</v>
      </c>
      <c r="E1274" s="150" t="s">
        <v>398</v>
      </c>
      <c r="F1274" s="151" t="s">
        <v>1177</v>
      </c>
      <c r="G1274" s="148"/>
    </row>
    <row r="1275" ht="15.75" customHeight="1">
      <c r="A1275" s="148"/>
      <c r="B1275" s="132" t="s">
        <v>322</v>
      </c>
      <c r="C1275" s="133">
        <v>1908019.0</v>
      </c>
      <c r="D1275" s="149" t="s">
        <v>397</v>
      </c>
      <c r="E1275" s="150" t="s">
        <v>398</v>
      </c>
      <c r="F1275" s="151" t="s">
        <v>1177</v>
      </c>
      <c r="G1275" s="148"/>
    </row>
    <row r="1276" ht="15.75" customHeight="1">
      <c r="A1276" s="148"/>
      <c r="B1276" s="132" t="s">
        <v>322</v>
      </c>
      <c r="C1276" s="133">
        <v>1908020.0</v>
      </c>
      <c r="D1276" s="149" t="s">
        <v>397</v>
      </c>
      <c r="E1276" s="150" t="s">
        <v>398</v>
      </c>
      <c r="F1276" s="151" t="s">
        <v>1177</v>
      </c>
      <c r="G1276" s="148"/>
    </row>
    <row r="1277" ht="15.75" customHeight="1">
      <c r="A1277" s="148"/>
      <c r="B1277" s="132" t="s">
        <v>322</v>
      </c>
      <c r="C1277" s="133">
        <v>1908021.0</v>
      </c>
      <c r="D1277" s="149" t="s">
        <v>397</v>
      </c>
      <c r="E1277" s="150" t="s">
        <v>398</v>
      </c>
      <c r="F1277" s="151" t="s">
        <v>1177</v>
      </c>
      <c r="G1277" s="148"/>
    </row>
    <row r="1278" ht="15.75" customHeight="1">
      <c r="A1278" s="148"/>
      <c r="B1278" s="132" t="s">
        <v>322</v>
      </c>
      <c r="C1278" s="133">
        <v>1908022.0</v>
      </c>
      <c r="D1278" s="149" t="s">
        <v>397</v>
      </c>
      <c r="E1278" s="150" t="s">
        <v>398</v>
      </c>
      <c r="F1278" s="151" t="s">
        <v>1177</v>
      </c>
      <c r="G1278" s="148"/>
    </row>
    <row r="1279" ht="15.75" customHeight="1">
      <c r="A1279" s="148"/>
      <c r="B1279" s="132" t="s">
        <v>322</v>
      </c>
      <c r="C1279" s="133">
        <v>1908023.0</v>
      </c>
      <c r="D1279" s="149" t="s">
        <v>397</v>
      </c>
      <c r="E1279" s="150" t="s">
        <v>398</v>
      </c>
      <c r="F1279" s="151" t="s">
        <v>1177</v>
      </c>
      <c r="G1279" s="148"/>
    </row>
    <row r="1280" ht="15.75" customHeight="1">
      <c r="A1280" s="148"/>
      <c r="B1280" s="132" t="s">
        <v>322</v>
      </c>
      <c r="C1280" s="133">
        <v>1908024.0</v>
      </c>
      <c r="D1280" s="149" t="s">
        <v>397</v>
      </c>
      <c r="E1280" s="150" t="s">
        <v>398</v>
      </c>
      <c r="F1280" s="151" t="s">
        <v>1177</v>
      </c>
      <c r="G1280" s="148"/>
    </row>
    <row r="1281" ht="15.75" customHeight="1">
      <c r="A1281" s="148"/>
      <c r="B1281" s="132" t="s">
        <v>322</v>
      </c>
      <c r="C1281" s="133">
        <v>1908025.0</v>
      </c>
      <c r="D1281" s="149" t="s">
        <v>397</v>
      </c>
      <c r="E1281" s="150" t="s">
        <v>398</v>
      </c>
      <c r="F1281" s="151" t="s">
        <v>1177</v>
      </c>
      <c r="G1281" s="148"/>
    </row>
    <row r="1282" ht="15.75" customHeight="1">
      <c r="A1282" s="148"/>
      <c r="B1282" s="132" t="s">
        <v>322</v>
      </c>
      <c r="C1282" s="133">
        <v>1908026.0</v>
      </c>
      <c r="D1282" s="149" t="s">
        <v>397</v>
      </c>
      <c r="E1282" s="150" t="s">
        <v>398</v>
      </c>
      <c r="F1282" s="151" t="s">
        <v>1177</v>
      </c>
      <c r="G1282" s="148"/>
    </row>
    <row r="1283" ht="15.75" customHeight="1">
      <c r="A1283" s="148"/>
      <c r="B1283" s="132" t="s">
        <v>322</v>
      </c>
      <c r="C1283" s="133">
        <v>1908027.0</v>
      </c>
      <c r="D1283" s="149" t="s">
        <v>397</v>
      </c>
      <c r="E1283" s="150" t="s">
        <v>398</v>
      </c>
      <c r="F1283" s="151" t="s">
        <v>1177</v>
      </c>
      <c r="G1283" s="148"/>
    </row>
    <row r="1284" ht="15.75" customHeight="1">
      <c r="A1284" s="148"/>
      <c r="B1284" s="132" t="s">
        <v>322</v>
      </c>
      <c r="C1284" s="133">
        <v>1908028.0</v>
      </c>
      <c r="D1284" s="149" t="s">
        <v>397</v>
      </c>
      <c r="E1284" s="150" t="s">
        <v>398</v>
      </c>
      <c r="F1284" s="151" t="s">
        <v>1177</v>
      </c>
      <c r="G1284" s="148"/>
    </row>
    <row r="1285" ht="15.75" customHeight="1">
      <c r="A1285" s="148"/>
      <c r="B1285" s="132" t="s">
        <v>322</v>
      </c>
      <c r="C1285" s="133">
        <v>1908029.0</v>
      </c>
      <c r="D1285" s="149" t="s">
        <v>397</v>
      </c>
      <c r="E1285" s="150" t="s">
        <v>398</v>
      </c>
      <c r="F1285" s="151" t="s">
        <v>1177</v>
      </c>
      <c r="G1285" s="148"/>
    </row>
    <row r="1286" ht="15.75" customHeight="1">
      <c r="A1286" s="148"/>
      <c r="B1286" s="132" t="s">
        <v>322</v>
      </c>
      <c r="C1286" s="133">
        <v>1908030.0</v>
      </c>
      <c r="D1286" s="149" t="s">
        <v>397</v>
      </c>
      <c r="E1286" s="150" t="s">
        <v>398</v>
      </c>
      <c r="F1286" s="151" t="s">
        <v>1177</v>
      </c>
      <c r="G1286" s="148"/>
    </row>
    <row r="1287" ht="15.75" customHeight="1">
      <c r="A1287" s="148"/>
      <c r="B1287" s="132" t="s">
        <v>322</v>
      </c>
      <c r="C1287" s="133">
        <v>1908031.0</v>
      </c>
      <c r="D1287" s="149" t="s">
        <v>397</v>
      </c>
      <c r="E1287" s="150" t="s">
        <v>398</v>
      </c>
      <c r="F1287" s="151" t="s">
        <v>1177</v>
      </c>
      <c r="G1287" s="148"/>
    </row>
    <row r="1288" ht="15.75" customHeight="1">
      <c r="A1288" s="148"/>
      <c r="B1288" s="132" t="s">
        <v>322</v>
      </c>
      <c r="C1288" s="133">
        <v>1908032.0</v>
      </c>
      <c r="D1288" s="149" t="s">
        <v>397</v>
      </c>
      <c r="E1288" s="150" t="s">
        <v>398</v>
      </c>
      <c r="F1288" s="151" t="s">
        <v>1177</v>
      </c>
      <c r="G1288" s="148"/>
    </row>
    <row r="1289" ht="15.75" customHeight="1">
      <c r="A1289" s="148"/>
      <c r="B1289" s="132" t="s">
        <v>322</v>
      </c>
      <c r="C1289" s="133">
        <v>1908033.0</v>
      </c>
      <c r="D1289" s="149" t="s">
        <v>397</v>
      </c>
      <c r="E1289" s="150" t="s">
        <v>398</v>
      </c>
      <c r="F1289" s="151" t="s">
        <v>1177</v>
      </c>
      <c r="G1289" s="148"/>
    </row>
    <row r="1290" ht="15.75" customHeight="1">
      <c r="A1290" s="148"/>
      <c r="B1290" s="132" t="s">
        <v>322</v>
      </c>
      <c r="C1290" s="133">
        <v>1908034.0</v>
      </c>
      <c r="D1290" s="149" t="s">
        <v>397</v>
      </c>
      <c r="E1290" s="150" t="s">
        <v>398</v>
      </c>
      <c r="F1290" s="151" t="s">
        <v>1177</v>
      </c>
      <c r="G1290" s="148"/>
    </row>
    <row r="1291" ht="15.75" customHeight="1">
      <c r="A1291" s="148"/>
      <c r="B1291" s="132" t="s">
        <v>322</v>
      </c>
      <c r="C1291" s="133">
        <v>1908035.0</v>
      </c>
      <c r="D1291" s="149" t="s">
        <v>397</v>
      </c>
      <c r="E1291" s="150" t="s">
        <v>398</v>
      </c>
      <c r="F1291" s="151" t="s">
        <v>1177</v>
      </c>
      <c r="G1291" s="148"/>
    </row>
    <row r="1292" ht="15.75" customHeight="1">
      <c r="A1292" s="148"/>
      <c r="B1292" s="132" t="s">
        <v>322</v>
      </c>
      <c r="C1292" s="133">
        <v>1908036.0</v>
      </c>
      <c r="D1292" s="149" t="s">
        <v>397</v>
      </c>
      <c r="E1292" s="150" t="s">
        <v>398</v>
      </c>
      <c r="F1292" s="151" t="s">
        <v>1177</v>
      </c>
      <c r="G1292" s="148"/>
    </row>
    <row r="1293" ht="15.75" customHeight="1">
      <c r="A1293" s="148"/>
      <c r="B1293" s="132" t="s">
        <v>322</v>
      </c>
      <c r="C1293" s="133">
        <v>1908037.0</v>
      </c>
      <c r="D1293" s="149" t="s">
        <v>397</v>
      </c>
      <c r="E1293" s="150" t="s">
        <v>398</v>
      </c>
      <c r="F1293" s="151" t="s">
        <v>1177</v>
      </c>
      <c r="G1293" s="148"/>
    </row>
    <row r="1294" ht="15.75" customHeight="1">
      <c r="A1294" s="148"/>
      <c r="B1294" s="132" t="s">
        <v>322</v>
      </c>
      <c r="C1294" s="133">
        <v>1908038.0</v>
      </c>
      <c r="D1294" s="149" t="s">
        <v>397</v>
      </c>
      <c r="E1294" s="150" t="s">
        <v>398</v>
      </c>
      <c r="F1294" s="151" t="s">
        <v>1177</v>
      </c>
      <c r="G1294" s="148"/>
    </row>
    <row r="1295" ht="15.75" customHeight="1">
      <c r="A1295" s="148"/>
      <c r="B1295" s="132" t="s">
        <v>322</v>
      </c>
      <c r="C1295" s="133">
        <v>1908039.0</v>
      </c>
      <c r="D1295" s="149" t="s">
        <v>397</v>
      </c>
      <c r="E1295" s="150" t="s">
        <v>398</v>
      </c>
      <c r="F1295" s="151" t="s">
        <v>1177</v>
      </c>
      <c r="G1295" s="148"/>
    </row>
    <row r="1296" ht="15.75" customHeight="1">
      <c r="A1296" s="148"/>
      <c r="B1296" s="132" t="s">
        <v>322</v>
      </c>
      <c r="C1296" s="133">
        <v>1908040.0</v>
      </c>
      <c r="D1296" s="149" t="s">
        <v>397</v>
      </c>
      <c r="E1296" s="150" t="s">
        <v>398</v>
      </c>
      <c r="F1296" s="151" t="s">
        <v>1177</v>
      </c>
      <c r="G1296" s="148"/>
    </row>
    <row r="1297" ht="15.75" customHeight="1">
      <c r="A1297" s="148"/>
      <c r="B1297" s="132" t="s">
        <v>322</v>
      </c>
      <c r="C1297" s="133">
        <v>1908041.0</v>
      </c>
      <c r="D1297" s="149" t="s">
        <v>397</v>
      </c>
      <c r="E1297" s="150" t="s">
        <v>398</v>
      </c>
      <c r="F1297" s="151" t="s">
        <v>1177</v>
      </c>
      <c r="G1297" s="148"/>
    </row>
    <row r="1298" ht="15.75" customHeight="1">
      <c r="A1298" s="148"/>
      <c r="B1298" s="132" t="s">
        <v>322</v>
      </c>
      <c r="C1298" s="133">
        <v>1908042.0</v>
      </c>
      <c r="D1298" s="149" t="s">
        <v>397</v>
      </c>
      <c r="E1298" s="150" t="s">
        <v>398</v>
      </c>
      <c r="F1298" s="151" t="s">
        <v>1177</v>
      </c>
      <c r="G1298" s="148"/>
    </row>
    <row r="1299" ht="15.75" customHeight="1">
      <c r="A1299" s="148"/>
      <c r="B1299" s="132" t="s">
        <v>322</v>
      </c>
      <c r="C1299" s="133">
        <v>1908043.0</v>
      </c>
      <c r="D1299" s="149" t="s">
        <v>397</v>
      </c>
      <c r="E1299" s="150" t="s">
        <v>398</v>
      </c>
      <c r="F1299" s="151" t="s">
        <v>1177</v>
      </c>
      <c r="G1299" s="148"/>
    </row>
    <row r="1300" ht="15.75" customHeight="1">
      <c r="A1300" s="148"/>
      <c r="B1300" s="132" t="s">
        <v>322</v>
      </c>
      <c r="C1300" s="133">
        <v>1908044.0</v>
      </c>
      <c r="D1300" s="149" t="s">
        <v>397</v>
      </c>
      <c r="E1300" s="150" t="s">
        <v>398</v>
      </c>
      <c r="F1300" s="151" t="s">
        <v>1177</v>
      </c>
      <c r="G1300" s="148"/>
    </row>
    <row r="1301" ht="15.75" customHeight="1">
      <c r="A1301" s="148"/>
      <c r="B1301" s="132" t="s">
        <v>322</v>
      </c>
      <c r="C1301" s="133">
        <v>1908045.0</v>
      </c>
      <c r="D1301" s="149" t="s">
        <v>397</v>
      </c>
      <c r="E1301" s="150" t="s">
        <v>398</v>
      </c>
      <c r="F1301" s="151" t="s">
        <v>1177</v>
      </c>
      <c r="G1301" s="148"/>
    </row>
    <row r="1302" ht="15.75" customHeight="1">
      <c r="A1302" s="148"/>
      <c r="B1302" s="132" t="s">
        <v>322</v>
      </c>
      <c r="C1302" s="133">
        <v>1908046.0</v>
      </c>
      <c r="D1302" s="149" t="s">
        <v>397</v>
      </c>
      <c r="E1302" s="150" t="s">
        <v>398</v>
      </c>
      <c r="F1302" s="151" t="s">
        <v>1177</v>
      </c>
      <c r="G1302" s="148"/>
    </row>
    <row r="1303" ht="15.75" customHeight="1">
      <c r="A1303" s="148"/>
      <c r="B1303" s="132" t="s">
        <v>322</v>
      </c>
      <c r="C1303" s="133">
        <v>1908047.0</v>
      </c>
      <c r="D1303" s="149" t="s">
        <v>397</v>
      </c>
      <c r="E1303" s="150" t="s">
        <v>398</v>
      </c>
      <c r="F1303" s="151" t="s">
        <v>1177</v>
      </c>
      <c r="G1303" s="148"/>
    </row>
    <row r="1304" ht="15.75" customHeight="1">
      <c r="A1304" s="148"/>
      <c r="B1304" s="132" t="s">
        <v>322</v>
      </c>
      <c r="C1304" s="133">
        <v>1908048.0</v>
      </c>
      <c r="D1304" s="149" t="s">
        <v>397</v>
      </c>
      <c r="E1304" s="150" t="s">
        <v>398</v>
      </c>
      <c r="F1304" s="151" t="s">
        <v>1177</v>
      </c>
      <c r="G1304" s="148"/>
    </row>
    <row r="1305" ht="15.75" customHeight="1">
      <c r="A1305" s="148"/>
      <c r="B1305" s="132" t="s">
        <v>322</v>
      </c>
      <c r="C1305" s="133">
        <v>1908049.0</v>
      </c>
      <c r="D1305" s="149" t="s">
        <v>397</v>
      </c>
      <c r="E1305" s="150" t="s">
        <v>398</v>
      </c>
      <c r="F1305" s="151" t="s">
        <v>1177</v>
      </c>
      <c r="G1305" s="148"/>
    </row>
    <row r="1306" ht="15.75" customHeight="1">
      <c r="A1306" s="148"/>
      <c r="B1306" s="132" t="s">
        <v>322</v>
      </c>
      <c r="C1306" s="133">
        <v>1908050.0</v>
      </c>
      <c r="D1306" s="149" t="s">
        <v>397</v>
      </c>
      <c r="E1306" s="150" t="s">
        <v>398</v>
      </c>
      <c r="F1306" s="151" t="s">
        <v>1177</v>
      </c>
      <c r="G1306" s="148"/>
    </row>
    <row r="1307" ht="15.75" customHeight="1">
      <c r="A1307" s="148"/>
      <c r="B1307" s="132" t="s">
        <v>322</v>
      </c>
      <c r="C1307" s="133">
        <v>1908051.0</v>
      </c>
      <c r="D1307" s="149" t="s">
        <v>397</v>
      </c>
      <c r="E1307" s="150" t="s">
        <v>398</v>
      </c>
      <c r="F1307" s="151" t="s">
        <v>1177</v>
      </c>
      <c r="G1307" s="148"/>
    </row>
    <row r="1308" ht="15.75" customHeight="1">
      <c r="A1308" s="148"/>
      <c r="B1308" s="132" t="s">
        <v>322</v>
      </c>
      <c r="C1308" s="133">
        <v>1908052.0</v>
      </c>
      <c r="D1308" s="149" t="s">
        <v>397</v>
      </c>
      <c r="E1308" s="150" t="s">
        <v>398</v>
      </c>
      <c r="F1308" s="151" t="s">
        <v>1177</v>
      </c>
      <c r="G1308" s="148"/>
    </row>
    <row r="1309" ht="15.75" customHeight="1">
      <c r="A1309" s="148"/>
      <c r="B1309" s="132" t="s">
        <v>322</v>
      </c>
      <c r="C1309" s="133">
        <v>1908053.0</v>
      </c>
      <c r="D1309" s="149" t="s">
        <v>397</v>
      </c>
      <c r="E1309" s="150" t="s">
        <v>398</v>
      </c>
      <c r="F1309" s="151" t="s">
        <v>1177</v>
      </c>
      <c r="G1309" s="148"/>
    </row>
    <row r="1310" ht="15.75" customHeight="1">
      <c r="A1310" s="148"/>
      <c r="B1310" s="132" t="s">
        <v>322</v>
      </c>
      <c r="C1310" s="133">
        <v>1908054.0</v>
      </c>
      <c r="D1310" s="149" t="s">
        <v>397</v>
      </c>
      <c r="E1310" s="150" t="s">
        <v>398</v>
      </c>
      <c r="F1310" s="151" t="s">
        <v>1177</v>
      </c>
      <c r="G1310" s="148"/>
    </row>
    <row r="1311" ht="15.75" customHeight="1">
      <c r="A1311" s="148"/>
      <c r="B1311" s="132" t="s">
        <v>322</v>
      </c>
      <c r="C1311" s="133">
        <v>1908055.0</v>
      </c>
      <c r="D1311" s="149" t="s">
        <v>397</v>
      </c>
      <c r="E1311" s="150" t="s">
        <v>398</v>
      </c>
      <c r="F1311" s="151" t="s">
        <v>1177</v>
      </c>
      <c r="G1311" s="148"/>
    </row>
    <row r="1312" ht="15.75" customHeight="1">
      <c r="A1312" s="148"/>
      <c r="B1312" s="132" t="s">
        <v>322</v>
      </c>
      <c r="C1312" s="133">
        <v>1908056.0</v>
      </c>
      <c r="D1312" s="149" t="s">
        <v>397</v>
      </c>
      <c r="E1312" s="150" t="s">
        <v>398</v>
      </c>
      <c r="F1312" s="151" t="s">
        <v>1177</v>
      </c>
      <c r="G1312" s="148"/>
    </row>
    <row r="1313" ht="15.75" customHeight="1">
      <c r="A1313" s="148"/>
      <c r="B1313" s="132" t="s">
        <v>322</v>
      </c>
      <c r="C1313" s="133">
        <v>1908057.0</v>
      </c>
      <c r="D1313" s="149" t="s">
        <v>397</v>
      </c>
      <c r="E1313" s="150" t="s">
        <v>398</v>
      </c>
      <c r="F1313" s="151" t="s">
        <v>1177</v>
      </c>
      <c r="G1313" s="148"/>
    </row>
    <row r="1314" ht="15.75" customHeight="1">
      <c r="A1314" s="148"/>
      <c r="B1314" s="132" t="s">
        <v>322</v>
      </c>
      <c r="C1314" s="133">
        <v>1908058.0</v>
      </c>
      <c r="D1314" s="149" t="s">
        <v>397</v>
      </c>
      <c r="E1314" s="150" t="s">
        <v>398</v>
      </c>
      <c r="F1314" s="151" t="s">
        <v>1177</v>
      </c>
      <c r="G1314" s="148"/>
    </row>
    <row r="1315" ht="15.75" customHeight="1">
      <c r="A1315" s="148"/>
      <c r="B1315" s="132" t="s">
        <v>322</v>
      </c>
      <c r="C1315" s="133">
        <v>1908059.0</v>
      </c>
      <c r="D1315" s="149" t="s">
        <v>397</v>
      </c>
      <c r="E1315" s="150" t="s">
        <v>398</v>
      </c>
      <c r="F1315" s="151" t="s">
        <v>1177</v>
      </c>
      <c r="G1315" s="148"/>
    </row>
    <row r="1316" ht="15.75" customHeight="1">
      <c r="A1316" s="148"/>
      <c r="B1316" s="132" t="s">
        <v>322</v>
      </c>
      <c r="C1316" s="133">
        <v>1908060.0</v>
      </c>
      <c r="D1316" s="149" t="s">
        <v>397</v>
      </c>
      <c r="E1316" s="150" t="s">
        <v>398</v>
      </c>
      <c r="F1316" s="151" t="s">
        <v>1177</v>
      </c>
      <c r="G1316" s="148"/>
    </row>
    <row r="1317" ht="15.75" customHeight="1">
      <c r="A1317" s="148"/>
      <c r="B1317" s="132" t="s">
        <v>322</v>
      </c>
      <c r="C1317" s="133">
        <v>1908061.0</v>
      </c>
      <c r="D1317" s="149" t="s">
        <v>397</v>
      </c>
      <c r="E1317" s="150" t="s">
        <v>398</v>
      </c>
      <c r="F1317" s="151" t="s">
        <v>1177</v>
      </c>
      <c r="G1317" s="148"/>
    </row>
    <row r="1318" ht="15.75" customHeight="1">
      <c r="A1318" s="148"/>
      <c r="B1318" s="132" t="s">
        <v>322</v>
      </c>
      <c r="C1318" s="133">
        <v>1908062.0</v>
      </c>
      <c r="D1318" s="149" t="s">
        <v>397</v>
      </c>
      <c r="E1318" s="150" t="s">
        <v>398</v>
      </c>
      <c r="F1318" s="151" t="s">
        <v>1177</v>
      </c>
      <c r="G1318" s="148"/>
    </row>
    <row r="1319" ht="15.75" customHeight="1">
      <c r="A1319" s="148"/>
      <c r="B1319" s="132" t="s">
        <v>322</v>
      </c>
      <c r="C1319" s="133">
        <v>1908063.0</v>
      </c>
      <c r="D1319" s="149" t="s">
        <v>397</v>
      </c>
      <c r="E1319" s="150" t="s">
        <v>398</v>
      </c>
      <c r="F1319" s="151" t="s">
        <v>1177</v>
      </c>
      <c r="G1319" s="148"/>
    </row>
    <row r="1320" ht="15.75" customHeight="1">
      <c r="A1320" s="148"/>
      <c r="B1320" s="132" t="s">
        <v>322</v>
      </c>
      <c r="C1320" s="133">
        <v>1908064.0</v>
      </c>
      <c r="D1320" s="149" t="s">
        <v>397</v>
      </c>
      <c r="E1320" s="150" t="s">
        <v>398</v>
      </c>
      <c r="F1320" s="151" t="s">
        <v>1177</v>
      </c>
      <c r="G1320" s="148"/>
    </row>
    <row r="1321" ht="15.75" customHeight="1">
      <c r="A1321" s="148"/>
      <c r="B1321" s="132" t="s">
        <v>322</v>
      </c>
      <c r="C1321" s="133">
        <v>1908065.0</v>
      </c>
      <c r="D1321" s="149" t="s">
        <v>397</v>
      </c>
      <c r="E1321" s="150" t="s">
        <v>398</v>
      </c>
      <c r="F1321" s="151" t="s">
        <v>1177</v>
      </c>
      <c r="G1321" s="148"/>
    </row>
    <row r="1322" ht="15.75" customHeight="1">
      <c r="A1322" s="148"/>
      <c r="B1322" s="132" t="s">
        <v>322</v>
      </c>
      <c r="C1322" s="133">
        <v>1908066.0</v>
      </c>
      <c r="D1322" s="149" t="s">
        <v>397</v>
      </c>
      <c r="E1322" s="150" t="s">
        <v>398</v>
      </c>
      <c r="F1322" s="151" t="s">
        <v>1177</v>
      </c>
      <c r="G1322" s="148"/>
    </row>
    <row r="1323" ht="15.75" customHeight="1">
      <c r="A1323" s="148"/>
      <c r="B1323" s="132" t="s">
        <v>322</v>
      </c>
      <c r="C1323" s="133">
        <v>1908067.0</v>
      </c>
      <c r="D1323" s="149" t="s">
        <v>397</v>
      </c>
      <c r="E1323" s="150" t="s">
        <v>398</v>
      </c>
      <c r="F1323" s="151" t="s">
        <v>1177</v>
      </c>
      <c r="G1323" s="148"/>
    </row>
    <row r="1324" ht="15.75" customHeight="1">
      <c r="A1324" s="148"/>
      <c r="B1324" s="132" t="s">
        <v>322</v>
      </c>
      <c r="C1324" s="133">
        <v>1908068.0</v>
      </c>
      <c r="D1324" s="149" t="s">
        <v>397</v>
      </c>
      <c r="E1324" s="150" t="s">
        <v>398</v>
      </c>
      <c r="F1324" s="151" t="s">
        <v>1177</v>
      </c>
      <c r="G1324" s="148"/>
    </row>
    <row r="1325" ht="15.75" customHeight="1">
      <c r="A1325" s="148"/>
      <c r="B1325" s="132" t="s">
        <v>322</v>
      </c>
      <c r="C1325" s="133">
        <v>1908069.0</v>
      </c>
      <c r="D1325" s="149" t="s">
        <v>397</v>
      </c>
      <c r="E1325" s="150" t="s">
        <v>398</v>
      </c>
      <c r="F1325" s="151" t="s">
        <v>1177</v>
      </c>
      <c r="G1325" s="148"/>
    </row>
    <row r="1326" ht="15.75" customHeight="1">
      <c r="A1326" s="148"/>
      <c r="B1326" s="132" t="s">
        <v>322</v>
      </c>
      <c r="C1326" s="133">
        <v>1908070.0</v>
      </c>
      <c r="D1326" s="149" t="s">
        <v>397</v>
      </c>
      <c r="E1326" s="150" t="s">
        <v>398</v>
      </c>
      <c r="F1326" s="151" t="s">
        <v>1177</v>
      </c>
      <c r="G1326" s="148"/>
    </row>
    <row r="1327" ht="15.75" customHeight="1">
      <c r="A1327" s="148"/>
      <c r="B1327" s="132" t="s">
        <v>322</v>
      </c>
      <c r="C1327" s="133">
        <v>1908071.0</v>
      </c>
      <c r="D1327" s="149" t="s">
        <v>397</v>
      </c>
      <c r="E1327" s="150" t="s">
        <v>398</v>
      </c>
      <c r="F1327" s="151" t="s">
        <v>1177</v>
      </c>
      <c r="G1327" s="148"/>
    </row>
    <row r="1328" ht="15.75" customHeight="1">
      <c r="A1328" s="148"/>
      <c r="B1328" s="132" t="s">
        <v>322</v>
      </c>
      <c r="C1328" s="133">
        <v>1908072.0</v>
      </c>
      <c r="D1328" s="149" t="s">
        <v>397</v>
      </c>
      <c r="E1328" s="150" t="s">
        <v>398</v>
      </c>
      <c r="F1328" s="151" t="s">
        <v>1177</v>
      </c>
      <c r="G1328" s="148"/>
    </row>
    <row r="1329" ht="15.75" customHeight="1">
      <c r="A1329" s="148"/>
      <c r="B1329" s="132" t="s">
        <v>322</v>
      </c>
      <c r="C1329" s="133">
        <v>1908073.0</v>
      </c>
      <c r="D1329" s="149" t="s">
        <v>397</v>
      </c>
      <c r="E1329" s="150" t="s">
        <v>398</v>
      </c>
      <c r="F1329" s="151" t="s">
        <v>1177</v>
      </c>
      <c r="G1329" s="148"/>
    </row>
    <row r="1330" ht="15.75" customHeight="1">
      <c r="A1330" s="148"/>
      <c r="B1330" s="132" t="s">
        <v>322</v>
      </c>
      <c r="C1330" s="133">
        <v>1908074.0</v>
      </c>
      <c r="D1330" s="149" t="s">
        <v>397</v>
      </c>
      <c r="E1330" s="150" t="s">
        <v>398</v>
      </c>
      <c r="F1330" s="151" t="s">
        <v>1177</v>
      </c>
      <c r="G1330" s="148"/>
    </row>
    <row r="1331" ht="15.75" customHeight="1">
      <c r="A1331" s="148"/>
      <c r="B1331" s="132" t="s">
        <v>322</v>
      </c>
      <c r="C1331" s="133">
        <v>1908075.0</v>
      </c>
      <c r="D1331" s="149" t="s">
        <v>397</v>
      </c>
      <c r="E1331" s="150" t="s">
        <v>398</v>
      </c>
      <c r="F1331" s="151" t="s">
        <v>1177</v>
      </c>
      <c r="G1331" s="148"/>
    </row>
    <row r="1332" ht="15.75" customHeight="1">
      <c r="A1332" s="148"/>
      <c r="B1332" s="132" t="s">
        <v>322</v>
      </c>
      <c r="C1332" s="133">
        <v>1908076.0</v>
      </c>
      <c r="D1332" s="149" t="s">
        <v>397</v>
      </c>
      <c r="E1332" s="150" t="s">
        <v>398</v>
      </c>
      <c r="F1332" s="151" t="s">
        <v>1177</v>
      </c>
      <c r="G1332" s="148"/>
    </row>
    <row r="1333" ht="15.75" customHeight="1">
      <c r="A1333" s="148"/>
      <c r="B1333" s="132" t="s">
        <v>322</v>
      </c>
      <c r="C1333" s="133">
        <v>1908077.0</v>
      </c>
      <c r="D1333" s="149" t="s">
        <v>397</v>
      </c>
      <c r="E1333" s="150" t="s">
        <v>398</v>
      </c>
      <c r="F1333" s="151" t="s">
        <v>1177</v>
      </c>
      <c r="G1333" s="148"/>
    </row>
    <row r="1334" ht="15.75" customHeight="1">
      <c r="A1334" s="148"/>
      <c r="B1334" s="132" t="s">
        <v>322</v>
      </c>
      <c r="C1334" s="133">
        <v>1908078.0</v>
      </c>
      <c r="D1334" s="149" t="s">
        <v>397</v>
      </c>
      <c r="E1334" s="150" t="s">
        <v>398</v>
      </c>
      <c r="F1334" s="151" t="s">
        <v>1177</v>
      </c>
      <c r="G1334" s="148"/>
    </row>
    <row r="1335" ht="15.75" customHeight="1">
      <c r="A1335" s="148"/>
      <c r="B1335" s="132" t="s">
        <v>322</v>
      </c>
      <c r="C1335" s="133">
        <v>1908079.0</v>
      </c>
      <c r="D1335" s="149" t="s">
        <v>397</v>
      </c>
      <c r="E1335" s="150" t="s">
        <v>398</v>
      </c>
      <c r="F1335" s="151" t="s">
        <v>1177</v>
      </c>
      <c r="G1335" s="148"/>
    </row>
    <row r="1336" ht="15.75" customHeight="1">
      <c r="A1336" s="148"/>
      <c r="B1336" s="132" t="s">
        <v>322</v>
      </c>
      <c r="C1336" s="133">
        <v>1908080.0</v>
      </c>
      <c r="D1336" s="149" t="s">
        <v>397</v>
      </c>
      <c r="E1336" s="150" t="s">
        <v>398</v>
      </c>
      <c r="F1336" s="151" t="s">
        <v>1177</v>
      </c>
      <c r="G1336" s="148"/>
    </row>
    <row r="1337" ht="15.75" customHeight="1">
      <c r="A1337" s="148"/>
      <c r="B1337" s="132" t="s">
        <v>322</v>
      </c>
      <c r="C1337" s="133">
        <v>1908081.0</v>
      </c>
      <c r="D1337" s="149" t="s">
        <v>397</v>
      </c>
      <c r="E1337" s="150" t="s">
        <v>398</v>
      </c>
      <c r="F1337" s="151" t="s">
        <v>1177</v>
      </c>
      <c r="G1337" s="148"/>
    </row>
    <row r="1338" ht="15.75" customHeight="1">
      <c r="A1338" s="148"/>
      <c r="B1338" s="132" t="s">
        <v>322</v>
      </c>
      <c r="C1338" s="133">
        <v>1908082.0</v>
      </c>
      <c r="D1338" s="149" t="s">
        <v>397</v>
      </c>
      <c r="E1338" s="150" t="s">
        <v>398</v>
      </c>
      <c r="F1338" s="151" t="s">
        <v>1177</v>
      </c>
      <c r="G1338" s="148"/>
    </row>
    <row r="1339" ht="15.75" customHeight="1">
      <c r="A1339" s="148"/>
      <c r="B1339" s="132" t="s">
        <v>322</v>
      </c>
      <c r="C1339" s="133">
        <v>1908083.0</v>
      </c>
      <c r="D1339" s="149" t="s">
        <v>397</v>
      </c>
      <c r="E1339" s="150" t="s">
        <v>398</v>
      </c>
      <c r="F1339" s="151" t="s">
        <v>1177</v>
      </c>
      <c r="G1339" s="148"/>
    </row>
    <row r="1340" ht="15.75" customHeight="1">
      <c r="A1340" s="148"/>
      <c r="B1340" s="132" t="s">
        <v>322</v>
      </c>
      <c r="C1340" s="133">
        <v>1908084.0</v>
      </c>
      <c r="D1340" s="149" t="s">
        <v>397</v>
      </c>
      <c r="E1340" s="150" t="s">
        <v>398</v>
      </c>
      <c r="F1340" s="151" t="s">
        <v>1177</v>
      </c>
      <c r="G1340" s="148"/>
    </row>
    <row r="1341" ht="15.75" customHeight="1">
      <c r="A1341" s="148"/>
      <c r="B1341" s="132" t="s">
        <v>322</v>
      </c>
      <c r="C1341" s="133">
        <v>1908085.0</v>
      </c>
      <c r="D1341" s="149" t="s">
        <v>397</v>
      </c>
      <c r="E1341" s="150" t="s">
        <v>398</v>
      </c>
      <c r="F1341" s="151" t="s">
        <v>1177</v>
      </c>
      <c r="G1341" s="148"/>
    </row>
    <row r="1342" ht="15.75" customHeight="1">
      <c r="A1342" s="148"/>
      <c r="B1342" s="132" t="s">
        <v>322</v>
      </c>
      <c r="C1342" s="133">
        <v>1908086.0</v>
      </c>
      <c r="D1342" s="149" t="s">
        <v>397</v>
      </c>
      <c r="E1342" s="150" t="s">
        <v>398</v>
      </c>
      <c r="F1342" s="151" t="s">
        <v>1177</v>
      </c>
      <c r="G1342" s="148"/>
    </row>
    <row r="1343" ht="15.75" customHeight="1">
      <c r="A1343" s="148"/>
      <c r="B1343" s="132" t="s">
        <v>322</v>
      </c>
      <c r="C1343" s="133">
        <v>1908087.0</v>
      </c>
      <c r="D1343" s="149" t="s">
        <v>397</v>
      </c>
      <c r="E1343" s="150" t="s">
        <v>398</v>
      </c>
      <c r="F1343" s="151" t="s">
        <v>1177</v>
      </c>
      <c r="G1343" s="148"/>
    </row>
    <row r="1344" ht="15.75" customHeight="1">
      <c r="A1344" s="148"/>
      <c r="B1344" s="132" t="s">
        <v>322</v>
      </c>
      <c r="C1344" s="133">
        <v>1908088.0</v>
      </c>
      <c r="D1344" s="149" t="s">
        <v>397</v>
      </c>
      <c r="E1344" s="150" t="s">
        <v>398</v>
      </c>
      <c r="F1344" s="151" t="s">
        <v>1177</v>
      </c>
      <c r="G1344" s="148"/>
    </row>
    <row r="1345" ht="15.75" customHeight="1">
      <c r="A1345" s="148"/>
      <c r="B1345" s="132" t="s">
        <v>322</v>
      </c>
      <c r="C1345" s="133">
        <v>1908089.0</v>
      </c>
      <c r="D1345" s="149" t="s">
        <v>397</v>
      </c>
      <c r="E1345" s="150" t="s">
        <v>398</v>
      </c>
      <c r="F1345" s="151" t="s">
        <v>1177</v>
      </c>
      <c r="G1345" s="148"/>
    </row>
    <row r="1346" ht="15.75" customHeight="1">
      <c r="A1346" s="148"/>
      <c r="B1346" s="132" t="s">
        <v>322</v>
      </c>
      <c r="C1346" s="133">
        <v>1908090.0</v>
      </c>
      <c r="D1346" s="149" t="s">
        <v>397</v>
      </c>
      <c r="E1346" s="150" t="s">
        <v>398</v>
      </c>
      <c r="F1346" s="151" t="s">
        <v>1177</v>
      </c>
      <c r="G1346" s="148"/>
    </row>
    <row r="1347" ht="15.75" customHeight="1">
      <c r="A1347" s="148"/>
      <c r="B1347" s="132" t="s">
        <v>322</v>
      </c>
      <c r="C1347" s="133">
        <v>1908091.0</v>
      </c>
      <c r="D1347" s="149" t="s">
        <v>397</v>
      </c>
      <c r="E1347" s="150" t="s">
        <v>398</v>
      </c>
      <c r="F1347" s="151" t="s">
        <v>1177</v>
      </c>
      <c r="G1347" s="148"/>
    </row>
    <row r="1348" ht="15.75" customHeight="1">
      <c r="A1348" s="148"/>
      <c r="B1348" s="132" t="s">
        <v>322</v>
      </c>
      <c r="C1348" s="133">
        <v>1908092.0</v>
      </c>
      <c r="D1348" s="149" t="s">
        <v>397</v>
      </c>
      <c r="E1348" s="150" t="s">
        <v>398</v>
      </c>
      <c r="F1348" s="151" t="s">
        <v>1177</v>
      </c>
      <c r="G1348" s="148"/>
    </row>
    <row r="1349" ht="15.75" customHeight="1">
      <c r="A1349" s="148"/>
      <c r="B1349" s="132" t="s">
        <v>322</v>
      </c>
      <c r="C1349" s="133">
        <v>1908093.0</v>
      </c>
      <c r="D1349" s="149" t="s">
        <v>397</v>
      </c>
      <c r="E1349" s="150" t="s">
        <v>398</v>
      </c>
      <c r="F1349" s="151" t="s">
        <v>1177</v>
      </c>
      <c r="G1349" s="148"/>
    </row>
    <row r="1350" ht="15.75" customHeight="1">
      <c r="A1350" s="148"/>
      <c r="B1350" s="132" t="s">
        <v>322</v>
      </c>
      <c r="C1350" s="133">
        <v>1908094.0</v>
      </c>
      <c r="D1350" s="149" t="s">
        <v>397</v>
      </c>
      <c r="E1350" s="150" t="s">
        <v>398</v>
      </c>
      <c r="F1350" s="151" t="s">
        <v>1177</v>
      </c>
      <c r="G1350" s="148"/>
    </row>
    <row r="1351" ht="15.75" customHeight="1">
      <c r="A1351" s="148"/>
      <c r="B1351" s="132" t="s">
        <v>322</v>
      </c>
      <c r="C1351" s="133">
        <v>1908095.0</v>
      </c>
      <c r="D1351" s="149" t="s">
        <v>397</v>
      </c>
      <c r="E1351" s="150" t="s">
        <v>398</v>
      </c>
      <c r="F1351" s="151" t="s">
        <v>1177</v>
      </c>
      <c r="G1351" s="148"/>
    </row>
    <row r="1352" ht="15.75" customHeight="1">
      <c r="A1352" s="148"/>
      <c r="B1352" s="132" t="s">
        <v>322</v>
      </c>
      <c r="C1352" s="133">
        <v>1908096.0</v>
      </c>
      <c r="D1352" s="149" t="s">
        <v>397</v>
      </c>
      <c r="E1352" s="150" t="s">
        <v>398</v>
      </c>
      <c r="F1352" s="151" t="s">
        <v>1177</v>
      </c>
      <c r="G1352" s="148"/>
    </row>
    <row r="1353" ht="15.75" customHeight="1">
      <c r="A1353" s="148"/>
      <c r="B1353" s="132" t="s">
        <v>322</v>
      </c>
      <c r="C1353" s="133">
        <v>1908097.0</v>
      </c>
      <c r="D1353" s="149" t="s">
        <v>397</v>
      </c>
      <c r="E1353" s="150" t="s">
        <v>398</v>
      </c>
      <c r="F1353" s="151" t="s">
        <v>1177</v>
      </c>
      <c r="G1353" s="148"/>
    </row>
    <row r="1354" ht="15.75" customHeight="1">
      <c r="A1354" s="148"/>
      <c r="B1354" s="132" t="s">
        <v>322</v>
      </c>
      <c r="C1354" s="133">
        <v>1908098.0</v>
      </c>
      <c r="D1354" s="149" t="s">
        <v>397</v>
      </c>
      <c r="E1354" s="150" t="s">
        <v>398</v>
      </c>
      <c r="F1354" s="151" t="s">
        <v>1177</v>
      </c>
      <c r="G1354" s="148"/>
    </row>
    <row r="1355" ht="15.75" customHeight="1">
      <c r="A1355" s="148"/>
      <c r="B1355" s="132" t="s">
        <v>322</v>
      </c>
      <c r="C1355" s="133">
        <v>1908099.0</v>
      </c>
      <c r="D1355" s="149" t="s">
        <v>397</v>
      </c>
      <c r="E1355" s="150" t="s">
        <v>398</v>
      </c>
      <c r="F1355" s="151" t="s">
        <v>1177</v>
      </c>
      <c r="G1355" s="148"/>
    </row>
    <row r="1356" ht="15.75" customHeight="1">
      <c r="A1356" s="148"/>
      <c r="B1356" s="132" t="s">
        <v>322</v>
      </c>
      <c r="C1356" s="133">
        <v>1908100.0</v>
      </c>
      <c r="D1356" s="149" t="s">
        <v>397</v>
      </c>
      <c r="E1356" s="150" t="s">
        <v>398</v>
      </c>
      <c r="F1356" s="151" t="s">
        <v>1177</v>
      </c>
      <c r="G1356" s="148"/>
    </row>
    <row r="1357" ht="15.75" customHeight="1">
      <c r="A1357" s="148"/>
      <c r="B1357" s="132" t="s">
        <v>322</v>
      </c>
      <c r="C1357" s="133">
        <v>1908101.0</v>
      </c>
      <c r="D1357" s="149" t="s">
        <v>397</v>
      </c>
      <c r="E1357" s="150" t="s">
        <v>398</v>
      </c>
      <c r="F1357" s="151" t="s">
        <v>1177</v>
      </c>
      <c r="G1357" s="148"/>
    </row>
    <row r="1358" ht="15.75" customHeight="1">
      <c r="A1358" s="148"/>
      <c r="B1358" s="132" t="s">
        <v>322</v>
      </c>
      <c r="C1358" s="133">
        <v>1908102.0</v>
      </c>
      <c r="D1358" s="149" t="s">
        <v>397</v>
      </c>
      <c r="E1358" s="150" t="s">
        <v>398</v>
      </c>
      <c r="F1358" s="151" t="s">
        <v>1177</v>
      </c>
      <c r="G1358" s="148"/>
    </row>
    <row r="1359" ht="15.75" customHeight="1">
      <c r="A1359" s="148"/>
      <c r="B1359" s="132" t="s">
        <v>322</v>
      </c>
      <c r="C1359" s="133">
        <v>1908103.0</v>
      </c>
      <c r="D1359" s="149" t="s">
        <v>397</v>
      </c>
      <c r="E1359" s="150" t="s">
        <v>398</v>
      </c>
      <c r="F1359" s="151" t="s">
        <v>1177</v>
      </c>
      <c r="G1359" s="148"/>
    </row>
    <row r="1360" ht="15.75" customHeight="1">
      <c r="A1360" s="148"/>
      <c r="B1360" s="132" t="s">
        <v>322</v>
      </c>
      <c r="C1360" s="133">
        <v>1908104.0</v>
      </c>
      <c r="D1360" s="149" t="s">
        <v>397</v>
      </c>
      <c r="E1360" s="150" t="s">
        <v>398</v>
      </c>
      <c r="F1360" s="151" t="s">
        <v>1177</v>
      </c>
      <c r="G1360" s="148"/>
    </row>
    <row r="1361" ht="15.75" customHeight="1">
      <c r="A1361" s="148"/>
      <c r="B1361" s="132" t="s">
        <v>322</v>
      </c>
      <c r="C1361" s="133">
        <v>1908105.0</v>
      </c>
      <c r="D1361" s="149" t="s">
        <v>397</v>
      </c>
      <c r="E1361" s="150" t="s">
        <v>398</v>
      </c>
      <c r="F1361" s="151" t="s">
        <v>1177</v>
      </c>
      <c r="G1361" s="148"/>
    </row>
    <row r="1362" ht="15.75" customHeight="1">
      <c r="A1362" s="148"/>
      <c r="B1362" s="132" t="s">
        <v>322</v>
      </c>
      <c r="C1362" s="133">
        <v>1908106.0</v>
      </c>
      <c r="D1362" s="149" t="s">
        <v>397</v>
      </c>
      <c r="E1362" s="150" t="s">
        <v>398</v>
      </c>
      <c r="F1362" s="151" t="s">
        <v>1177</v>
      </c>
      <c r="G1362" s="148"/>
    </row>
    <row r="1363" ht="15.75" customHeight="1">
      <c r="A1363" s="148"/>
      <c r="B1363" s="132" t="s">
        <v>322</v>
      </c>
      <c r="C1363" s="133">
        <v>1908107.0</v>
      </c>
      <c r="D1363" s="149" t="s">
        <v>397</v>
      </c>
      <c r="E1363" s="150" t="s">
        <v>398</v>
      </c>
      <c r="F1363" s="151" t="s">
        <v>1177</v>
      </c>
      <c r="G1363" s="148"/>
    </row>
    <row r="1364" ht="15.75" customHeight="1">
      <c r="A1364" s="148"/>
      <c r="B1364" s="132" t="s">
        <v>322</v>
      </c>
      <c r="C1364" s="133">
        <v>1908108.0</v>
      </c>
      <c r="D1364" s="149" t="s">
        <v>397</v>
      </c>
      <c r="E1364" s="150" t="s">
        <v>398</v>
      </c>
      <c r="F1364" s="151" t="s">
        <v>1177</v>
      </c>
      <c r="G1364" s="148"/>
    </row>
    <row r="1365" ht="15.75" customHeight="1">
      <c r="A1365" s="148"/>
      <c r="B1365" s="132" t="s">
        <v>322</v>
      </c>
      <c r="C1365" s="133">
        <v>1908109.0</v>
      </c>
      <c r="D1365" s="149" t="s">
        <v>397</v>
      </c>
      <c r="E1365" s="150" t="s">
        <v>398</v>
      </c>
      <c r="F1365" s="151" t="s">
        <v>1177</v>
      </c>
      <c r="G1365" s="148"/>
    </row>
    <row r="1366" ht="15.75" customHeight="1">
      <c r="A1366" s="148"/>
      <c r="B1366" s="132" t="s">
        <v>322</v>
      </c>
      <c r="C1366" s="133">
        <v>1908110.0</v>
      </c>
      <c r="D1366" s="149" t="s">
        <v>397</v>
      </c>
      <c r="E1366" s="150" t="s">
        <v>398</v>
      </c>
      <c r="F1366" s="151" t="s">
        <v>1177</v>
      </c>
      <c r="G1366" s="148"/>
    </row>
    <row r="1367" ht="15.75" customHeight="1">
      <c r="A1367" s="148"/>
      <c r="B1367" s="132" t="s">
        <v>322</v>
      </c>
      <c r="C1367" s="133">
        <v>1908111.0</v>
      </c>
      <c r="D1367" s="149" t="s">
        <v>397</v>
      </c>
      <c r="E1367" s="150" t="s">
        <v>398</v>
      </c>
      <c r="F1367" s="151" t="s">
        <v>1177</v>
      </c>
      <c r="G1367" s="148"/>
    </row>
    <row r="1368" ht="15.75" customHeight="1">
      <c r="A1368" s="148"/>
      <c r="B1368" s="132" t="s">
        <v>322</v>
      </c>
      <c r="C1368" s="133">
        <v>1908112.0</v>
      </c>
      <c r="D1368" s="149" t="s">
        <v>397</v>
      </c>
      <c r="E1368" s="150" t="s">
        <v>398</v>
      </c>
      <c r="F1368" s="151" t="s">
        <v>1177</v>
      </c>
      <c r="G1368" s="148"/>
    </row>
    <row r="1369" ht="15.75" customHeight="1">
      <c r="A1369" s="148"/>
      <c r="B1369" s="132" t="s">
        <v>322</v>
      </c>
      <c r="C1369" s="133">
        <v>1908113.0</v>
      </c>
      <c r="D1369" s="149" t="s">
        <v>397</v>
      </c>
      <c r="E1369" s="150" t="s">
        <v>398</v>
      </c>
      <c r="F1369" s="151" t="s">
        <v>1177</v>
      </c>
      <c r="G1369" s="148"/>
    </row>
    <row r="1370" ht="15.75" customHeight="1">
      <c r="A1370" s="148"/>
      <c r="B1370" s="132" t="s">
        <v>322</v>
      </c>
      <c r="C1370" s="133">
        <v>1908114.0</v>
      </c>
      <c r="D1370" s="149" t="s">
        <v>397</v>
      </c>
      <c r="E1370" s="150" t="s">
        <v>398</v>
      </c>
      <c r="F1370" s="151" t="s">
        <v>1177</v>
      </c>
      <c r="G1370" s="148"/>
    </row>
    <row r="1371" ht="15.75" customHeight="1">
      <c r="A1371" s="148"/>
      <c r="B1371" s="132" t="s">
        <v>322</v>
      </c>
      <c r="C1371" s="133">
        <v>1908115.0</v>
      </c>
      <c r="D1371" s="149" t="s">
        <v>397</v>
      </c>
      <c r="E1371" s="150" t="s">
        <v>398</v>
      </c>
      <c r="F1371" s="151" t="s">
        <v>1177</v>
      </c>
      <c r="G1371" s="148"/>
    </row>
    <row r="1372" ht="15.75" customHeight="1">
      <c r="A1372" s="148"/>
      <c r="B1372" s="132" t="s">
        <v>322</v>
      </c>
      <c r="C1372" s="133">
        <v>1908116.0</v>
      </c>
      <c r="D1372" s="149" t="s">
        <v>397</v>
      </c>
      <c r="E1372" s="150" t="s">
        <v>398</v>
      </c>
      <c r="F1372" s="151" t="s">
        <v>1177</v>
      </c>
      <c r="G1372" s="148"/>
    </row>
    <row r="1373" ht="15.75" customHeight="1">
      <c r="A1373" s="148"/>
      <c r="B1373" s="132" t="s">
        <v>322</v>
      </c>
      <c r="C1373" s="133">
        <v>1908117.0</v>
      </c>
      <c r="D1373" s="149" t="s">
        <v>397</v>
      </c>
      <c r="E1373" s="150" t="s">
        <v>398</v>
      </c>
      <c r="F1373" s="151" t="s">
        <v>1177</v>
      </c>
      <c r="G1373" s="148"/>
    </row>
    <row r="1374" ht="15.75" customHeight="1">
      <c r="A1374" s="148"/>
      <c r="B1374" s="132" t="s">
        <v>322</v>
      </c>
      <c r="C1374" s="133">
        <v>1908118.0</v>
      </c>
      <c r="D1374" s="149" t="s">
        <v>397</v>
      </c>
      <c r="E1374" s="150" t="s">
        <v>398</v>
      </c>
      <c r="F1374" s="151" t="s">
        <v>1177</v>
      </c>
      <c r="G1374" s="148"/>
    </row>
    <row r="1375" ht="15.75" customHeight="1">
      <c r="A1375" s="148"/>
      <c r="B1375" s="132" t="s">
        <v>322</v>
      </c>
      <c r="C1375" s="133">
        <v>1908119.0</v>
      </c>
      <c r="D1375" s="149" t="s">
        <v>397</v>
      </c>
      <c r="E1375" s="150" t="s">
        <v>398</v>
      </c>
      <c r="F1375" s="151" t="s">
        <v>1177</v>
      </c>
      <c r="G1375" s="148"/>
    </row>
    <row r="1376" ht="15.75" customHeight="1">
      <c r="A1376" s="148"/>
      <c r="B1376" s="132" t="s">
        <v>322</v>
      </c>
      <c r="C1376" s="133">
        <v>1908120.0</v>
      </c>
      <c r="D1376" s="149" t="s">
        <v>397</v>
      </c>
      <c r="E1376" s="150" t="s">
        <v>398</v>
      </c>
      <c r="F1376" s="151" t="s">
        <v>1177</v>
      </c>
      <c r="G1376" s="148"/>
    </row>
    <row r="1377" ht="15.75" customHeight="1">
      <c r="A1377" s="148"/>
      <c r="B1377" s="132" t="s">
        <v>322</v>
      </c>
      <c r="C1377" s="133">
        <v>1908121.0</v>
      </c>
      <c r="D1377" s="149" t="s">
        <v>397</v>
      </c>
      <c r="E1377" s="150" t="s">
        <v>398</v>
      </c>
      <c r="F1377" s="151" t="s">
        <v>1177</v>
      </c>
      <c r="G1377" s="148"/>
    </row>
    <row r="1378" ht="15.75" customHeight="1">
      <c r="A1378" s="148"/>
      <c r="B1378" s="132" t="s">
        <v>322</v>
      </c>
      <c r="C1378" s="133">
        <v>1908122.0</v>
      </c>
      <c r="D1378" s="149" t="s">
        <v>397</v>
      </c>
      <c r="E1378" s="150" t="s">
        <v>398</v>
      </c>
      <c r="F1378" s="151" t="s">
        <v>1177</v>
      </c>
      <c r="G1378" s="148"/>
    </row>
    <row r="1379" ht="15.75" customHeight="1">
      <c r="A1379" s="148"/>
      <c r="B1379" s="132" t="s">
        <v>322</v>
      </c>
      <c r="C1379" s="133">
        <v>1908123.0</v>
      </c>
      <c r="D1379" s="149" t="s">
        <v>397</v>
      </c>
      <c r="E1379" s="150" t="s">
        <v>398</v>
      </c>
      <c r="F1379" s="151" t="s">
        <v>1177</v>
      </c>
      <c r="G1379" s="148"/>
    </row>
    <row r="1380" ht="15.75" customHeight="1">
      <c r="A1380" s="148"/>
      <c r="B1380" s="132" t="s">
        <v>322</v>
      </c>
      <c r="C1380" s="133">
        <v>1908124.0</v>
      </c>
      <c r="D1380" s="149" t="s">
        <v>397</v>
      </c>
      <c r="E1380" s="150" t="s">
        <v>398</v>
      </c>
      <c r="F1380" s="151" t="s">
        <v>1177</v>
      </c>
      <c r="G1380" s="148"/>
    </row>
    <row r="1381" ht="15.75" customHeight="1">
      <c r="A1381" s="148"/>
      <c r="B1381" s="132" t="s">
        <v>322</v>
      </c>
      <c r="C1381" s="133">
        <v>1908125.0</v>
      </c>
      <c r="D1381" s="149" t="s">
        <v>397</v>
      </c>
      <c r="E1381" s="150" t="s">
        <v>398</v>
      </c>
      <c r="F1381" s="151" t="s">
        <v>1177</v>
      </c>
      <c r="G1381" s="148"/>
    </row>
    <row r="1382" ht="15.75" customHeight="1">
      <c r="A1382" s="148"/>
      <c r="B1382" s="132" t="s">
        <v>322</v>
      </c>
      <c r="C1382" s="133">
        <v>1908126.0</v>
      </c>
      <c r="D1382" s="149" t="s">
        <v>397</v>
      </c>
      <c r="E1382" s="150" t="s">
        <v>398</v>
      </c>
      <c r="F1382" s="151" t="s">
        <v>1177</v>
      </c>
      <c r="G1382" s="148"/>
    </row>
    <row r="1383" ht="15.75" customHeight="1">
      <c r="A1383" s="148"/>
      <c r="B1383" s="132" t="s">
        <v>322</v>
      </c>
      <c r="C1383" s="133">
        <v>1908127.0</v>
      </c>
      <c r="D1383" s="149" t="s">
        <v>397</v>
      </c>
      <c r="E1383" s="150" t="s">
        <v>398</v>
      </c>
      <c r="F1383" s="151" t="s">
        <v>1177</v>
      </c>
      <c r="G1383" s="148"/>
    </row>
    <row r="1384" ht="15.75" customHeight="1">
      <c r="A1384" s="148"/>
      <c r="B1384" s="132" t="s">
        <v>322</v>
      </c>
      <c r="C1384" s="133">
        <v>1908128.0</v>
      </c>
      <c r="D1384" s="149" t="s">
        <v>397</v>
      </c>
      <c r="E1384" s="150" t="s">
        <v>398</v>
      </c>
      <c r="F1384" s="151" t="s">
        <v>1177</v>
      </c>
      <c r="G1384" s="148"/>
    </row>
    <row r="1385" ht="15.75" customHeight="1">
      <c r="A1385" s="148"/>
      <c r="B1385" s="132" t="s">
        <v>322</v>
      </c>
      <c r="C1385" s="133">
        <v>1908129.0</v>
      </c>
      <c r="D1385" s="149" t="s">
        <v>397</v>
      </c>
      <c r="E1385" s="150" t="s">
        <v>398</v>
      </c>
      <c r="F1385" s="151" t="s">
        <v>1177</v>
      </c>
      <c r="G1385" s="148"/>
    </row>
    <row r="1386" ht="15.75" customHeight="1">
      <c r="A1386" s="148"/>
      <c r="B1386" s="132" t="s">
        <v>322</v>
      </c>
      <c r="C1386" s="133">
        <v>1908130.0</v>
      </c>
      <c r="D1386" s="149" t="s">
        <v>397</v>
      </c>
      <c r="E1386" s="150" t="s">
        <v>398</v>
      </c>
      <c r="F1386" s="151" t="s">
        <v>1177</v>
      </c>
      <c r="G1386" s="148"/>
    </row>
    <row r="1387" ht="15.75" customHeight="1">
      <c r="A1387" s="148"/>
      <c r="B1387" s="132" t="s">
        <v>322</v>
      </c>
      <c r="C1387" s="133">
        <v>1908131.0</v>
      </c>
      <c r="D1387" s="149" t="s">
        <v>397</v>
      </c>
      <c r="E1387" s="150" t="s">
        <v>398</v>
      </c>
      <c r="F1387" s="151" t="s">
        <v>1177</v>
      </c>
      <c r="G1387" s="148"/>
    </row>
    <row r="1388" ht="15.75" customHeight="1">
      <c r="A1388" s="148"/>
      <c r="B1388" s="132" t="s">
        <v>322</v>
      </c>
      <c r="C1388" s="133">
        <v>1908132.0</v>
      </c>
      <c r="D1388" s="149" t="s">
        <v>397</v>
      </c>
      <c r="E1388" s="150" t="s">
        <v>398</v>
      </c>
      <c r="F1388" s="151" t="s">
        <v>1177</v>
      </c>
      <c r="G1388" s="148"/>
    </row>
    <row r="1389" ht="15.75" customHeight="1">
      <c r="A1389" s="148"/>
      <c r="B1389" s="132" t="s">
        <v>322</v>
      </c>
      <c r="C1389" s="133">
        <v>1908133.0</v>
      </c>
      <c r="D1389" s="149" t="s">
        <v>397</v>
      </c>
      <c r="E1389" s="150" t="s">
        <v>398</v>
      </c>
      <c r="F1389" s="151" t="s">
        <v>1177</v>
      </c>
      <c r="G1389" s="148"/>
    </row>
    <row r="1390" ht="15.75" customHeight="1">
      <c r="A1390" s="148"/>
      <c r="B1390" s="132" t="s">
        <v>322</v>
      </c>
      <c r="C1390" s="133">
        <v>1908134.0</v>
      </c>
      <c r="D1390" s="149" t="s">
        <v>397</v>
      </c>
      <c r="E1390" s="150" t="s">
        <v>398</v>
      </c>
      <c r="F1390" s="151" t="s">
        <v>1177</v>
      </c>
      <c r="G1390" s="148"/>
    </row>
    <row r="1391" ht="15.75" customHeight="1">
      <c r="A1391" s="148"/>
      <c r="B1391" s="132" t="s">
        <v>322</v>
      </c>
      <c r="C1391" s="133">
        <v>1908135.0</v>
      </c>
      <c r="D1391" s="149" t="s">
        <v>397</v>
      </c>
      <c r="E1391" s="150" t="s">
        <v>398</v>
      </c>
      <c r="F1391" s="151" t="s">
        <v>1177</v>
      </c>
      <c r="G1391" s="148"/>
    </row>
    <row r="1392" ht="15.75" customHeight="1">
      <c r="A1392" s="148"/>
      <c r="B1392" s="132" t="s">
        <v>322</v>
      </c>
      <c r="C1392" s="133">
        <v>1908136.0</v>
      </c>
      <c r="D1392" s="149" t="s">
        <v>397</v>
      </c>
      <c r="E1392" s="150" t="s">
        <v>398</v>
      </c>
      <c r="F1392" s="151" t="s">
        <v>1177</v>
      </c>
      <c r="G1392" s="148"/>
    </row>
    <row r="1393" ht="15.75" customHeight="1">
      <c r="A1393" s="148"/>
      <c r="B1393" s="132" t="s">
        <v>322</v>
      </c>
      <c r="C1393" s="133">
        <v>1908137.0</v>
      </c>
      <c r="D1393" s="149" t="s">
        <v>397</v>
      </c>
      <c r="E1393" s="150" t="s">
        <v>398</v>
      </c>
      <c r="F1393" s="151" t="s">
        <v>1177</v>
      </c>
      <c r="G1393" s="148"/>
    </row>
    <row r="1394" ht="15.75" customHeight="1">
      <c r="A1394" s="148"/>
      <c r="B1394" s="132" t="s">
        <v>322</v>
      </c>
      <c r="C1394" s="133">
        <v>1908138.0</v>
      </c>
      <c r="D1394" s="149" t="s">
        <v>397</v>
      </c>
      <c r="E1394" s="150" t="s">
        <v>398</v>
      </c>
      <c r="F1394" s="151" t="s">
        <v>1177</v>
      </c>
      <c r="G1394" s="148"/>
    </row>
    <row r="1395" ht="15.75" customHeight="1">
      <c r="A1395" s="148"/>
      <c r="B1395" s="132" t="s">
        <v>322</v>
      </c>
      <c r="C1395" s="133">
        <v>1908139.0</v>
      </c>
      <c r="D1395" s="149" t="s">
        <v>397</v>
      </c>
      <c r="E1395" s="150" t="s">
        <v>398</v>
      </c>
      <c r="F1395" s="151" t="s">
        <v>1177</v>
      </c>
      <c r="G1395" s="148"/>
    </row>
    <row r="1396" ht="15.75" customHeight="1">
      <c r="A1396" s="148"/>
      <c r="B1396" s="132" t="s">
        <v>322</v>
      </c>
      <c r="C1396" s="133">
        <v>1908140.0</v>
      </c>
      <c r="D1396" s="149" t="s">
        <v>397</v>
      </c>
      <c r="E1396" s="150" t="s">
        <v>398</v>
      </c>
      <c r="F1396" s="151" t="s">
        <v>1177</v>
      </c>
      <c r="G1396" s="148"/>
    </row>
    <row r="1397" ht="15.75" customHeight="1">
      <c r="A1397" s="148"/>
      <c r="B1397" s="132" t="s">
        <v>322</v>
      </c>
      <c r="C1397" s="133">
        <v>1908141.0</v>
      </c>
      <c r="D1397" s="149" t="s">
        <v>397</v>
      </c>
      <c r="E1397" s="150" t="s">
        <v>398</v>
      </c>
      <c r="F1397" s="151" t="s">
        <v>1177</v>
      </c>
      <c r="G1397" s="148"/>
    </row>
    <row r="1398" ht="15.75" customHeight="1">
      <c r="A1398" s="148"/>
      <c r="B1398" s="132" t="s">
        <v>322</v>
      </c>
      <c r="C1398" s="133">
        <v>1908142.0</v>
      </c>
      <c r="D1398" s="149" t="s">
        <v>397</v>
      </c>
      <c r="E1398" s="150" t="s">
        <v>398</v>
      </c>
      <c r="F1398" s="151" t="s">
        <v>1177</v>
      </c>
      <c r="G1398" s="148"/>
    </row>
    <row r="1399" ht="15.75" customHeight="1">
      <c r="A1399" s="148"/>
      <c r="B1399" s="132" t="s">
        <v>322</v>
      </c>
      <c r="C1399" s="133">
        <v>1908143.0</v>
      </c>
      <c r="D1399" s="149" t="s">
        <v>397</v>
      </c>
      <c r="E1399" s="150" t="s">
        <v>398</v>
      </c>
      <c r="F1399" s="151" t="s">
        <v>1177</v>
      </c>
      <c r="G1399" s="148"/>
    </row>
    <row r="1400" ht="15.75" customHeight="1">
      <c r="A1400" s="148"/>
      <c r="B1400" s="132" t="s">
        <v>322</v>
      </c>
      <c r="C1400" s="133">
        <v>1908144.0</v>
      </c>
      <c r="D1400" s="149" t="s">
        <v>397</v>
      </c>
      <c r="E1400" s="150" t="s">
        <v>398</v>
      </c>
      <c r="F1400" s="151" t="s">
        <v>1177</v>
      </c>
      <c r="G1400" s="148"/>
    </row>
    <row r="1401" ht="15.75" customHeight="1">
      <c r="A1401" s="148"/>
      <c r="B1401" s="132" t="s">
        <v>322</v>
      </c>
      <c r="C1401" s="133">
        <v>1908145.0</v>
      </c>
      <c r="D1401" s="149" t="s">
        <v>397</v>
      </c>
      <c r="E1401" s="150" t="s">
        <v>398</v>
      </c>
      <c r="F1401" s="151" t="s">
        <v>1177</v>
      </c>
      <c r="G1401" s="148"/>
    </row>
    <row r="1402" ht="15.75" customHeight="1">
      <c r="A1402" s="148"/>
      <c r="B1402" s="132" t="s">
        <v>322</v>
      </c>
      <c r="C1402" s="133">
        <v>1908146.0</v>
      </c>
      <c r="D1402" s="149" t="s">
        <v>397</v>
      </c>
      <c r="E1402" s="150" t="s">
        <v>398</v>
      </c>
      <c r="F1402" s="151" t="s">
        <v>1177</v>
      </c>
      <c r="G1402" s="148"/>
    </row>
    <row r="1403" ht="15.75" customHeight="1">
      <c r="A1403" s="148"/>
      <c r="B1403" s="132" t="s">
        <v>322</v>
      </c>
      <c r="C1403" s="133">
        <v>1908147.0</v>
      </c>
      <c r="D1403" s="149" t="s">
        <v>397</v>
      </c>
      <c r="E1403" s="150" t="s">
        <v>398</v>
      </c>
      <c r="F1403" s="151" t="s">
        <v>1177</v>
      </c>
      <c r="G1403" s="148"/>
    </row>
    <row r="1404" ht="15.75" customHeight="1">
      <c r="A1404" s="148"/>
      <c r="B1404" s="132" t="s">
        <v>322</v>
      </c>
      <c r="C1404" s="133">
        <v>1908148.0</v>
      </c>
      <c r="D1404" s="149" t="s">
        <v>397</v>
      </c>
      <c r="E1404" s="150" t="s">
        <v>398</v>
      </c>
      <c r="F1404" s="151" t="s">
        <v>1177</v>
      </c>
      <c r="G1404" s="148"/>
    </row>
    <row r="1405" ht="15.75" customHeight="1">
      <c r="A1405" s="148"/>
      <c r="B1405" s="132" t="s">
        <v>322</v>
      </c>
      <c r="C1405" s="133">
        <v>1908149.0</v>
      </c>
      <c r="D1405" s="149" t="s">
        <v>397</v>
      </c>
      <c r="E1405" s="150" t="s">
        <v>398</v>
      </c>
      <c r="F1405" s="151" t="s">
        <v>1177</v>
      </c>
      <c r="G1405" s="148"/>
    </row>
    <row r="1406" ht="15.75" customHeight="1">
      <c r="A1406" s="148"/>
      <c r="B1406" s="132" t="s">
        <v>322</v>
      </c>
      <c r="C1406" s="133">
        <v>1908150.0</v>
      </c>
      <c r="D1406" s="149" t="s">
        <v>397</v>
      </c>
      <c r="E1406" s="150" t="s">
        <v>398</v>
      </c>
      <c r="F1406" s="151" t="s">
        <v>1177</v>
      </c>
      <c r="G1406" s="148"/>
    </row>
    <row r="1407" ht="15.75" customHeight="1">
      <c r="A1407" s="148"/>
      <c r="B1407" s="132" t="s">
        <v>322</v>
      </c>
      <c r="C1407" s="133">
        <v>1908151.0</v>
      </c>
      <c r="D1407" s="149" t="s">
        <v>397</v>
      </c>
      <c r="E1407" s="150" t="s">
        <v>398</v>
      </c>
      <c r="F1407" s="151" t="s">
        <v>1177</v>
      </c>
      <c r="G1407" s="148"/>
    </row>
    <row r="1408" ht="15.75" customHeight="1">
      <c r="A1408" s="148"/>
      <c r="B1408" s="132" t="s">
        <v>322</v>
      </c>
      <c r="C1408" s="133">
        <v>1908152.0</v>
      </c>
      <c r="D1408" s="149" t="s">
        <v>397</v>
      </c>
      <c r="E1408" s="150" t="s">
        <v>398</v>
      </c>
      <c r="F1408" s="151" t="s">
        <v>1177</v>
      </c>
      <c r="G1408" s="148"/>
    </row>
    <row r="1409" ht="15.75" customHeight="1">
      <c r="A1409" s="148"/>
      <c r="B1409" s="132" t="s">
        <v>322</v>
      </c>
      <c r="C1409" s="133">
        <v>1908153.0</v>
      </c>
      <c r="D1409" s="149" t="s">
        <v>397</v>
      </c>
      <c r="E1409" s="150" t="s">
        <v>398</v>
      </c>
      <c r="F1409" s="151" t="s">
        <v>1177</v>
      </c>
      <c r="G1409" s="148"/>
    </row>
    <row r="1410" ht="15.75" customHeight="1">
      <c r="A1410" s="148"/>
      <c r="B1410" s="132" t="s">
        <v>322</v>
      </c>
      <c r="C1410" s="133">
        <v>1908154.0</v>
      </c>
      <c r="D1410" s="149" t="s">
        <v>397</v>
      </c>
      <c r="E1410" s="150" t="s">
        <v>398</v>
      </c>
      <c r="F1410" s="151" t="s">
        <v>1177</v>
      </c>
      <c r="G1410" s="148"/>
    </row>
    <row r="1411" ht="15.75" customHeight="1">
      <c r="A1411" s="148"/>
      <c r="B1411" s="132" t="s">
        <v>322</v>
      </c>
      <c r="C1411" s="133">
        <v>1908155.0</v>
      </c>
      <c r="D1411" s="149" t="s">
        <v>397</v>
      </c>
      <c r="E1411" s="150" t="s">
        <v>398</v>
      </c>
      <c r="F1411" s="151" t="s">
        <v>1177</v>
      </c>
      <c r="G1411" s="148"/>
    </row>
    <row r="1412" ht="15.75" customHeight="1">
      <c r="A1412" s="148"/>
      <c r="B1412" s="132" t="s">
        <v>322</v>
      </c>
      <c r="C1412" s="133">
        <v>1908156.0</v>
      </c>
      <c r="D1412" s="149" t="s">
        <v>397</v>
      </c>
      <c r="E1412" s="150" t="s">
        <v>398</v>
      </c>
      <c r="F1412" s="151" t="s">
        <v>1177</v>
      </c>
      <c r="G1412" s="148"/>
    </row>
    <row r="1413" ht="15.75" customHeight="1">
      <c r="A1413" s="148"/>
      <c r="B1413" s="132" t="s">
        <v>322</v>
      </c>
      <c r="C1413" s="133">
        <v>1908157.0</v>
      </c>
      <c r="D1413" s="149" t="s">
        <v>397</v>
      </c>
      <c r="E1413" s="150" t="s">
        <v>398</v>
      </c>
      <c r="F1413" s="151" t="s">
        <v>1177</v>
      </c>
      <c r="G1413" s="148"/>
    </row>
    <row r="1414" ht="15.75" customHeight="1">
      <c r="A1414" s="148"/>
      <c r="B1414" s="132" t="s">
        <v>322</v>
      </c>
      <c r="C1414" s="133">
        <v>1908158.0</v>
      </c>
      <c r="D1414" s="149" t="s">
        <v>397</v>
      </c>
      <c r="E1414" s="150" t="s">
        <v>398</v>
      </c>
      <c r="F1414" s="151" t="s">
        <v>1177</v>
      </c>
      <c r="G1414" s="148"/>
    </row>
    <row r="1415" ht="15.75" customHeight="1">
      <c r="A1415" s="148"/>
      <c r="B1415" s="132" t="s">
        <v>322</v>
      </c>
      <c r="C1415" s="133">
        <v>1908159.0</v>
      </c>
      <c r="D1415" s="149" t="s">
        <v>397</v>
      </c>
      <c r="E1415" s="150" t="s">
        <v>398</v>
      </c>
      <c r="F1415" s="151" t="s">
        <v>1177</v>
      </c>
      <c r="G1415" s="148"/>
    </row>
    <row r="1416" ht="15.75" customHeight="1">
      <c r="A1416" s="148"/>
      <c r="B1416" s="132" t="s">
        <v>322</v>
      </c>
      <c r="C1416" s="133">
        <v>1908160.0</v>
      </c>
      <c r="D1416" s="149" t="s">
        <v>397</v>
      </c>
      <c r="E1416" s="150" t="s">
        <v>398</v>
      </c>
      <c r="F1416" s="151" t="s">
        <v>1177</v>
      </c>
      <c r="G1416" s="148"/>
    </row>
    <row r="1417" ht="15.75" customHeight="1">
      <c r="A1417" s="148"/>
      <c r="B1417" s="132" t="s">
        <v>322</v>
      </c>
      <c r="C1417" s="133">
        <v>1908161.0</v>
      </c>
      <c r="D1417" s="149" t="s">
        <v>397</v>
      </c>
      <c r="E1417" s="150" t="s">
        <v>398</v>
      </c>
      <c r="F1417" s="151" t="s">
        <v>1177</v>
      </c>
      <c r="G1417" s="148"/>
    </row>
    <row r="1418" ht="15.75" customHeight="1">
      <c r="A1418" s="148"/>
      <c r="B1418" s="132" t="s">
        <v>322</v>
      </c>
      <c r="C1418" s="133">
        <v>1908162.0</v>
      </c>
      <c r="D1418" s="149" t="s">
        <v>397</v>
      </c>
      <c r="E1418" s="150" t="s">
        <v>398</v>
      </c>
      <c r="F1418" s="151" t="s">
        <v>1177</v>
      </c>
      <c r="G1418" s="148"/>
    </row>
    <row r="1419" ht="15.75" customHeight="1">
      <c r="A1419" s="148"/>
      <c r="B1419" s="132" t="s">
        <v>322</v>
      </c>
      <c r="C1419" s="133">
        <v>1908163.0</v>
      </c>
      <c r="D1419" s="149" t="s">
        <v>397</v>
      </c>
      <c r="E1419" s="150" t="s">
        <v>398</v>
      </c>
      <c r="F1419" s="151" t="s">
        <v>1177</v>
      </c>
      <c r="G1419" s="148"/>
    </row>
    <row r="1420" ht="15.75" customHeight="1">
      <c r="A1420" s="148"/>
      <c r="B1420" s="132" t="s">
        <v>322</v>
      </c>
      <c r="C1420" s="133">
        <v>1908164.0</v>
      </c>
      <c r="D1420" s="149" t="s">
        <v>397</v>
      </c>
      <c r="E1420" s="150" t="s">
        <v>398</v>
      </c>
      <c r="F1420" s="151" t="s">
        <v>1177</v>
      </c>
      <c r="G1420" s="148"/>
    </row>
    <row r="1421" ht="15.75" customHeight="1">
      <c r="A1421" s="148"/>
      <c r="B1421" s="132" t="s">
        <v>322</v>
      </c>
      <c r="C1421" s="133">
        <v>1908165.0</v>
      </c>
      <c r="D1421" s="149" t="s">
        <v>397</v>
      </c>
      <c r="E1421" s="150" t="s">
        <v>398</v>
      </c>
      <c r="F1421" s="151" t="s">
        <v>1177</v>
      </c>
      <c r="G1421" s="148"/>
    </row>
    <row r="1422" ht="15.75" customHeight="1">
      <c r="A1422" s="148"/>
      <c r="B1422" s="132" t="s">
        <v>322</v>
      </c>
      <c r="C1422" s="133">
        <v>1908166.0</v>
      </c>
      <c r="D1422" s="149" t="s">
        <v>397</v>
      </c>
      <c r="E1422" s="150" t="s">
        <v>398</v>
      </c>
      <c r="F1422" s="151" t="s">
        <v>1177</v>
      </c>
      <c r="G1422" s="148"/>
    </row>
    <row r="1423" ht="15.75" customHeight="1">
      <c r="A1423" s="148"/>
      <c r="B1423" s="132" t="s">
        <v>322</v>
      </c>
      <c r="C1423" s="133">
        <v>1908167.0</v>
      </c>
      <c r="D1423" s="149" t="s">
        <v>397</v>
      </c>
      <c r="E1423" s="150" t="s">
        <v>398</v>
      </c>
      <c r="F1423" s="151" t="s">
        <v>1177</v>
      </c>
      <c r="G1423" s="148"/>
    </row>
    <row r="1424" ht="15.75" customHeight="1">
      <c r="A1424" s="148"/>
      <c r="B1424" s="132" t="s">
        <v>322</v>
      </c>
      <c r="C1424" s="133">
        <v>1908168.0</v>
      </c>
      <c r="D1424" s="149" t="s">
        <v>397</v>
      </c>
      <c r="E1424" s="150" t="s">
        <v>398</v>
      </c>
      <c r="F1424" s="151" t="s">
        <v>1177</v>
      </c>
      <c r="G1424" s="148"/>
    </row>
    <row r="1425" ht="15.75" customHeight="1">
      <c r="A1425" s="148"/>
      <c r="B1425" s="132" t="s">
        <v>322</v>
      </c>
      <c r="C1425" s="133">
        <v>1908169.0</v>
      </c>
      <c r="D1425" s="149" t="s">
        <v>397</v>
      </c>
      <c r="E1425" s="150" t="s">
        <v>398</v>
      </c>
      <c r="F1425" s="151" t="s">
        <v>1177</v>
      </c>
      <c r="G1425" s="148"/>
    </row>
    <row r="1426" ht="15.75" customHeight="1">
      <c r="A1426" s="148"/>
      <c r="B1426" s="132" t="s">
        <v>322</v>
      </c>
      <c r="C1426" s="133">
        <v>1908170.0</v>
      </c>
      <c r="D1426" s="149" t="s">
        <v>397</v>
      </c>
      <c r="E1426" s="150" t="s">
        <v>398</v>
      </c>
      <c r="F1426" s="151" t="s">
        <v>1177</v>
      </c>
      <c r="G1426" s="148"/>
    </row>
    <row r="1427" ht="15.75" customHeight="1">
      <c r="A1427" s="148"/>
      <c r="B1427" s="132" t="s">
        <v>322</v>
      </c>
      <c r="C1427" s="133">
        <v>1908171.0</v>
      </c>
      <c r="D1427" s="149" t="s">
        <v>397</v>
      </c>
      <c r="E1427" s="150" t="s">
        <v>398</v>
      </c>
      <c r="F1427" s="151" t="s">
        <v>1177</v>
      </c>
      <c r="G1427" s="148"/>
    </row>
    <row r="1428" ht="15.75" customHeight="1">
      <c r="A1428" s="148"/>
      <c r="B1428" s="132" t="s">
        <v>322</v>
      </c>
      <c r="C1428" s="133">
        <v>1908172.0</v>
      </c>
      <c r="D1428" s="149" t="s">
        <v>397</v>
      </c>
      <c r="E1428" s="150" t="s">
        <v>398</v>
      </c>
      <c r="F1428" s="151" t="s">
        <v>1177</v>
      </c>
      <c r="G1428" s="148"/>
    </row>
    <row r="1429" ht="15.75" customHeight="1">
      <c r="A1429" s="148"/>
      <c r="B1429" s="132" t="s">
        <v>322</v>
      </c>
      <c r="C1429" s="133">
        <v>1908173.0</v>
      </c>
      <c r="D1429" s="149" t="s">
        <v>397</v>
      </c>
      <c r="E1429" s="150" t="s">
        <v>398</v>
      </c>
      <c r="F1429" s="151" t="s">
        <v>1177</v>
      </c>
      <c r="G1429" s="148"/>
    </row>
    <row r="1430" ht="15.75" customHeight="1">
      <c r="A1430" s="148"/>
      <c r="B1430" s="132" t="s">
        <v>322</v>
      </c>
      <c r="C1430" s="133">
        <v>1908174.0</v>
      </c>
      <c r="D1430" s="149" t="s">
        <v>397</v>
      </c>
      <c r="E1430" s="150" t="s">
        <v>398</v>
      </c>
      <c r="F1430" s="151" t="s">
        <v>1177</v>
      </c>
      <c r="G1430" s="148"/>
    </row>
    <row r="1431" ht="15.75" customHeight="1">
      <c r="A1431" s="148"/>
      <c r="B1431" s="132" t="s">
        <v>322</v>
      </c>
      <c r="C1431" s="133">
        <v>1908175.0</v>
      </c>
      <c r="D1431" s="149" t="s">
        <v>397</v>
      </c>
      <c r="E1431" s="150" t="s">
        <v>398</v>
      </c>
      <c r="F1431" s="151" t="s">
        <v>1177</v>
      </c>
      <c r="G1431" s="148"/>
    </row>
    <row r="1432" ht="15.75" customHeight="1">
      <c r="A1432" s="148"/>
      <c r="B1432" s="132" t="s">
        <v>322</v>
      </c>
      <c r="C1432" s="133">
        <v>1908176.0</v>
      </c>
      <c r="D1432" s="149" t="s">
        <v>397</v>
      </c>
      <c r="E1432" s="150" t="s">
        <v>398</v>
      </c>
      <c r="F1432" s="151" t="s">
        <v>1177</v>
      </c>
      <c r="G1432" s="148"/>
    </row>
    <row r="1433" ht="15.75" customHeight="1">
      <c r="A1433" s="148"/>
      <c r="B1433" s="132" t="s">
        <v>322</v>
      </c>
      <c r="C1433" s="133">
        <v>1908177.0</v>
      </c>
      <c r="D1433" s="149" t="s">
        <v>397</v>
      </c>
      <c r="E1433" s="150" t="s">
        <v>398</v>
      </c>
      <c r="F1433" s="151" t="s">
        <v>1177</v>
      </c>
      <c r="G1433" s="148"/>
    </row>
    <row r="1434" ht="15.75" customHeight="1">
      <c r="A1434" s="148"/>
      <c r="B1434" s="132" t="s">
        <v>322</v>
      </c>
      <c r="C1434" s="133">
        <v>1908178.0</v>
      </c>
      <c r="D1434" s="149" t="s">
        <v>397</v>
      </c>
      <c r="E1434" s="150" t="s">
        <v>398</v>
      </c>
      <c r="F1434" s="151" t="s">
        <v>1177</v>
      </c>
      <c r="G1434" s="148"/>
    </row>
    <row r="1435" ht="15.75" customHeight="1">
      <c r="A1435" s="148"/>
      <c r="B1435" s="132" t="s">
        <v>322</v>
      </c>
      <c r="C1435" s="133">
        <v>1908179.0</v>
      </c>
      <c r="D1435" s="149" t="s">
        <v>397</v>
      </c>
      <c r="E1435" s="150" t="s">
        <v>398</v>
      </c>
      <c r="F1435" s="151" t="s">
        <v>1177</v>
      </c>
      <c r="G1435" s="148"/>
    </row>
    <row r="1436" ht="15.75" customHeight="1">
      <c r="A1436" s="148"/>
      <c r="B1436" s="132" t="s">
        <v>322</v>
      </c>
      <c r="C1436" s="133">
        <v>1908180.0</v>
      </c>
      <c r="D1436" s="149" t="s">
        <v>397</v>
      </c>
      <c r="E1436" s="150" t="s">
        <v>398</v>
      </c>
      <c r="F1436" s="151" t="s">
        <v>1177</v>
      </c>
      <c r="G1436" s="148"/>
    </row>
    <row r="1437" ht="15.75" customHeight="1">
      <c r="A1437" s="148"/>
      <c r="B1437" s="132" t="s">
        <v>322</v>
      </c>
      <c r="C1437" s="133">
        <v>1908181.0</v>
      </c>
      <c r="D1437" s="149" t="s">
        <v>397</v>
      </c>
      <c r="E1437" s="150" t="s">
        <v>398</v>
      </c>
      <c r="F1437" s="151" t="s">
        <v>1177</v>
      </c>
      <c r="G1437" s="148"/>
    </row>
    <row r="1438" ht="15.75" customHeight="1">
      <c r="A1438" s="148"/>
      <c r="B1438" s="132" t="s">
        <v>322</v>
      </c>
      <c r="C1438" s="133">
        <v>1908182.0</v>
      </c>
      <c r="D1438" s="149" t="s">
        <v>397</v>
      </c>
      <c r="E1438" s="150" t="s">
        <v>398</v>
      </c>
      <c r="F1438" s="151" t="s">
        <v>1177</v>
      </c>
      <c r="G1438" s="148"/>
    </row>
    <row r="1439" ht="15.75" customHeight="1">
      <c r="A1439" s="148"/>
      <c r="B1439" s="132" t="s">
        <v>322</v>
      </c>
      <c r="C1439" s="133">
        <v>1908183.0</v>
      </c>
      <c r="D1439" s="149" t="s">
        <v>397</v>
      </c>
      <c r="E1439" s="150" t="s">
        <v>398</v>
      </c>
      <c r="F1439" s="151" t="s">
        <v>1177</v>
      </c>
      <c r="G1439" s="148"/>
    </row>
    <row r="1440" ht="15.75" customHeight="1">
      <c r="A1440" s="148"/>
      <c r="B1440" s="132" t="s">
        <v>322</v>
      </c>
      <c r="C1440" s="133">
        <v>1908184.0</v>
      </c>
      <c r="D1440" s="149" t="s">
        <v>397</v>
      </c>
      <c r="E1440" s="150" t="s">
        <v>398</v>
      </c>
      <c r="F1440" s="151" t="s">
        <v>1177</v>
      </c>
      <c r="G1440" s="148"/>
    </row>
    <row r="1441" ht="15.75" customHeight="1">
      <c r="A1441" s="148"/>
      <c r="B1441" s="132" t="s">
        <v>322</v>
      </c>
      <c r="C1441" s="133">
        <v>1908185.0</v>
      </c>
      <c r="D1441" s="149" t="s">
        <v>397</v>
      </c>
      <c r="E1441" s="150" t="s">
        <v>398</v>
      </c>
      <c r="F1441" s="151" t="s">
        <v>1177</v>
      </c>
      <c r="G1441" s="148"/>
    </row>
    <row r="1442" ht="15.75" customHeight="1">
      <c r="A1442" s="148"/>
      <c r="B1442" s="132" t="s">
        <v>322</v>
      </c>
      <c r="C1442" s="133">
        <v>1908186.0</v>
      </c>
      <c r="D1442" s="149" t="s">
        <v>397</v>
      </c>
      <c r="E1442" s="150" t="s">
        <v>398</v>
      </c>
      <c r="F1442" s="151" t="s">
        <v>1177</v>
      </c>
      <c r="G1442" s="148"/>
    </row>
    <row r="1443" ht="15.75" customHeight="1">
      <c r="A1443" s="148"/>
      <c r="B1443" s="132" t="s">
        <v>322</v>
      </c>
      <c r="C1443" s="133">
        <v>1908187.0</v>
      </c>
      <c r="D1443" s="149" t="s">
        <v>397</v>
      </c>
      <c r="E1443" s="150" t="s">
        <v>398</v>
      </c>
      <c r="F1443" s="151" t="s">
        <v>1177</v>
      </c>
      <c r="G1443" s="148"/>
    </row>
    <row r="1444" ht="15.75" customHeight="1">
      <c r="A1444" s="148"/>
      <c r="B1444" s="132" t="s">
        <v>322</v>
      </c>
      <c r="C1444" s="133">
        <v>1908188.0</v>
      </c>
      <c r="D1444" s="149" t="s">
        <v>397</v>
      </c>
      <c r="E1444" s="150" t="s">
        <v>398</v>
      </c>
      <c r="F1444" s="151" t="s">
        <v>1177</v>
      </c>
      <c r="G1444" s="148"/>
    </row>
    <row r="1445" ht="15.75" customHeight="1">
      <c r="A1445" s="148"/>
      <c r="B1445" s="132" t="s">
        <v>322</v>
      </c>
      <c r="C1445" s="133">
        <v>1908189.0</v>
      </c>
      <c r="D1445" s="149" t="s">
        <v>397</v>
      </c>
      <c r="E1445" s="150" t="s">
        <v>398</v>
      </c>
      <c r="F1445" s="151" t="s">
        <v>1177</v>
      </c>
      <c r="G1445" s="148"/>
    </row>
    <row r="1446" ht="15.75" customHeight="1">
      <c r="A1446" s="148"/>
      <c r="B1446" s="132" t="s">
        <v>322</v>
      </c>
      <c r="C1446" s="133">
        <v>1908190.0</v>
      </c>
      <c r="D1446" s="149" t="s">
        <v>397</v>
      </c>
      <c r="E1446" s="150" t="s">
        <v>398</v>
      </c>
      <c r="F1446" s="151" t="s">
        <v>1177</v>
      </c>
      <c r="G1446" s="148"/>
    </row>
    <row r="1447" ht="15.75" customHeight="1">
      <c r="A1447" s="148"/>
      <c r="B1447" s="132" t="s">
        <v>322</v>
      </c>
      <c r="C1447" s="133">
        <v>1908191.0</v>
      </c>
      <c r="D1447" s="149" t="s">
        <v>397</v>
      </c>
      <c r="E1447" s="150" t="s">
        <v>398</v>
      </c>
      <c r="F1447" s="151" t="s">
        <v>1177</v>
      </c>
      <c r="G1447" s="148"/>
    </row>
    <row r="1448" ht="15.75" customHeight="1">
      <c r="A1448" s="148"/>
      <c r="B1448" s="132" t="s">
        <v>322</v>
      </c>
      <c r="C1448" s="133">
        <v>1908192.0</v>
      </c>
      <c r="D1448" s="149" t="s">
        <v>397</v>
      </c>
      <c r="E1448" s="150" t="s">
        <v>398</v>
      </c>
      <c r="F1448" s="151" t="s">
        <v>1177</v>
      </c>
      <c r="G1448" s="148"/>
    </row>
    <row r="1449" ht="15.75" customHeight="1">
      <c r="A1449" s="148"/>
      <c r="B1449" s="132" t="s">
        <v>322</v>
      </c>
      <c r="C1449" s="133">
        <v>1908194.0</v>
      </c>
      <c r="D1449" s="149" t="s">
        <v>397</v>
      </c>
      <c r="E1449" s="150" t="s">
        <v>398</v>
      </c>
      <c r="F1449" s="151" t="s">
        <v>1177</v>
      </c>
      <c r="G1449" s="148"/>
    </row>
    <row r="1450" ht="15.75" customHeight="1">
      <c r="A1450" s="148"/>
      <c r="B1450" s="132" t="s">
        <v>322</v>
      </c>
      <c r="C1450" s="133">
        <v>1908195.0</v>
      </c>
      <c r="D1450" s="149" t="s">
        <v>397</v>
      </c>
      <c r="E1450" s="150" t="s">
        <v>398</v>
      </c>
      <c r="F1450" s="151" t="s">
        <v>1177</v>
      </c>
      <c r="G1450" s="148"/>
    </row>
    <row r="1451" ht="15.75" customHeight="1">
      <c r="A1451" s="148"/>
      <c r="B1451" s="132" t="s">
        <v>322</v>
      </c>
      <c r="C1451" s="133">
        <v>1908196.0</v>
      </c>
      <c r="D1451" s="149" t="s">
        <v>397</v>
      </c>
      <c r="E1451" s="150" t="s">
        <v>398</v>
      </c>
      <c r="F1451" s="151" t="s">
        <v>1177</v>
      </c>
      <c r="G1451" s="148"/>
    </row>
    <row r="1452" ht="15.75" customHeight="1">
      <c r="A1452" s="148"/>
      <c r="B1452" s="132" t="s">
        <v>322</v>
      </c>
      <c r="C1452" s="133">
        <v>1908197.0</v>
      </c>
      <c r="D1452" s="149" t="s">
        <v>397</v>
      </c>
      <c r="E1452" s="150" t="s">
        <v>398</v>
      </c>
      <c r="F1452" s="151" t="s">
        <v>1177</v>
      </c>
      <c r="G1452" s="148"/>
    </row>
    <row r="1453" ht="15.75" customHeight="1">
      <c r="A1453" s="148"/>
      <c r="B1453" s="132" t="s">
        <v>322</v>
      </c>
      <c r="C1453" s="133">
        <v>1908198.0</v>
      </c>
      <c r="D1453" s="149" t="s">
        <v>397</v>
      </c>
      <c r="E1453" s="150" t="s">
        <v>398</v>
      </c>
      <c r="F1453" s="151" t="s">
        <v>1177</v>
      </c>
      <c r="G1453" s="148"/>
    </row>
    <row r="1454" ht="15.75" customHeight="1">
      <c r="A1454" s="148"/>
      <c r="B1454" s="132" t="s">
        <v>322</v>
      </c>
      <c r="C1454" s="133">
        <v>1908199.0</v>
      </c>
      <c r="D1454" s="149" t="s">
        <v>397</v>
      </c>
      <c r="E1454" s="150" t="s">
        <v>398</v>
      </c>
      <c r="F1454" s="151" t="s">
        <v>1177</v>
      </c>
      <c r="G1454" s="148"/>
    </row>
    <row r="1455" ht="15.75" customHeight="1">
      <c r="A1455" s="148"/>
      <c r="B1455" s="132" t="s">
        <v>322</v>
      </c>
      <c r="C1455" s="133">
        <v>1908200.0</v>
      </c>
      <c r="D1455" s="149" t="s">
        <v>397</v>
      </c>
      <c r="E1455" s="150" t="s">
        <v>398</v>
      </c>
      <c r="F1455" s="151" t="s">
        <v>1177</v>
      </c>
      <c r="G1455" s="148"/>
    </row>
    <row r="1456" ht="15.75" customHeight="1">
      <c r="A1456" s="148"/>
      <c r="B1456" s="132" t="s">
        <v>322</v>
      </c>
      <c r="C1456" s="133">
        <v>1908201.0</v>
      </c>
      <c r="D1456" s="149" t="s">
        <v>397</v>
      </c>
      <c r="E1456" s="150" t="s">
        <v>398</v>
      </c>
      <c r="F1456" s="151" t="s">
        <v>1177</v>
      </c>
      <c r="G1456" s="148"/>
    </row>
    <row r="1457" ht="15.75" customHeight="1">
      <c r="A1457" s="148"/>
      <c r="B1457" s="132" t="s">
        <v>322</v>
      </c>
      <c r="C1457" s="133">
        <v>1908202.0</v>
      </c>
      <c r="D1457" s="149" t="s">
        <v>397</v>
      </c>
      <c r="E1457" s="150" t="s">
        <v>398</v>
      </c>
      <c r="F1457" s="151" t="s">
        <v>1177</v>
      </c>
      <c r="G1457" s="148"/>
    </row>
    <row r="1458" ht="15.75" customHeight="1">
      <c r="A1458" s="148"/>
      <c r="B1458" s="132" t="s">
        <v>322</v>
      </c>
      <c r="C1458" s="133">
        <v>1908203.0</v>
      </c>
      <c r="D1458" s="149" t="s">
        <v>397</v>
      </c>
      <c r="E1458" s="150" t="s">
        <v>398</v>
      </c>
      <c r="F1458" s="151" t="s">
        <v>1177</v>
      </c>
      <c r="G1458" s="148"/>
    </row>
    <row r="1459" ht="15.75" customHeight="1">
      <c r="A1459" s="148"/>
      <c r="B1459" s="132" t="s">
        <v>322</v>
      </c>
      <c r="C1459" s="133">
        <v>1908204.0</v>
      </c>
      <c r="D1459" s="149" t="s">
        <v>397</v>
      </c>
      <c r="E1459" s="150" t="s">
        <v>398</v>
      </c>
      <c r="F1459" s="151" t="s">
        <v>1177</v>
      </c>
      <c r="G1459" s="148"/>
    </row>
    <row r="1460" ht="15.75" customHeight="1">
      <c r="A1460" s="148"/>
      <c r="B1460" s="132" t="s">
        <v>322</v>
      </c>
      <c r="C1460" s="133">
        <v>1908205.0</v>
      </c>
      <c r="D1460" s="149" t="s">
        <v>397</v>
      </c>
      <c r="E1460" s="150" t="s">
        <v>398</v>
      </c>
      <c r="F1460" s="151" t="s">
        <v>1177</v>
      </c>
      <c r="G1460" s="148"/>
    </row>
    <row r="1461" ht="15.75" customHeight="1">
      <c r="A1461" s="148"/>
      <c r="B1461" s="132" t="s">
        <v>322</v>
      </c>
      <c r="C1461" s="133">
        <v>1908206.0</v>
      </c>
      <c r="D1461" s="149" t="s">
        <v>397</v>
      </c>
      <c r="E1461" s="150" t="s">
        <v>398</v>
      </c>
      <c r="F1461" s="151" t="s">
        <v>1177</v>
      </c>
      <c r="G1461" s="148"/>
    </row>
    <row r="1462" ht="15.75" customHeight="1">
      <c r="A1462" s="148"/>
      <c r="B1462" s="132" t="s">
        <v>322</v>
      </c>
      <c r="C1462" s="133">
        <v>1908207.0</v>
      </c>
      <c r="D1462" s="149" t="s">
        <v>397</v>
      </c>
      <c r="E1462" s="150" t="s">
        <v>398</v>
      </c>
      <c r="F1462" s="151" t="s">
        <v>1177</v>
      </c>
      <c r="G1462" s="148"/>
    </row>
    <row r="1463" ht="15.75" customHeight="1">
      <c r="A1463" s="148"/>
      <c r="B1463" s="132" t="s">
        <v>322</v>
      </c>
      <c r="C1463" s="133">
        <v>1908208.0</v>
      </c>
      <c r="D1463" s="149" t="s">
        <v>397</v>
      </c>
      <c r="E1463" s="150" t="s">
        <v>398</v>
      </c>
      <c r="F1463" s="151" t="s">
        <v>1177</v>
      </c>
      <c r="G1463" s="148"/>
    </row>
    <row r="1464" ht="15.75" customHeight="1">
      <c r="A1464" s="148"/>
      <c r="B1464" s="132" t="s">
        <v>322</v>
      </c>
      <c r="C1464" s="133">
        <v>1908209.0</v>
      </c>
      <c r="D1464" s="149" t="s">
        <v>397</v>
      </c>
      <c r="E1464" s="150" t="s">
        <v>398</v>
      </c>
      <c r="F1464" s="151" t="s">
        <v>1177</v>
      </c>
      <c r="G1464" s="148"/>
    </row>
    <row r="1465" ht="15.75" customHeight="1">
      <c r="A1465" s="148"/>
      <c r="B1465" s="132" t="s">
        <v>322</v>
      </c>
      <c r="C1465" s="133">
        <v>1908210.0</v>
      </c>
      <c r="D1465" s="149" t="s">
        <v>397</v>
      </c>
      <c r="E1465" s="150" t="s">
        <v>398</v>
      </c>
      <c r="F1465" s="151" t="s">
        <v>1177</v>
      </c>
      <c r="G1465" s="148"/>
    </row>
    <row r="1466" ht="15.75" customHeight="1">
      <c r="A1466" s="148"/>
      <c r="B1466" s="132" t="s">
        <v>322</v>
      </c>
      <c r="C1466" s="133">
        <v>1908211.0</v>
      </c>
      <c r="D1466" s="149" t="s">
        <v>397</v>
      </c>
      <c r="E1466" s="150" t="s">
        <v>398</v>
      </c>
      <c r="F1466" s="151" t="s">
        <v>1177</v>
      </c>
      <c r="G1466" s="148"/>
    </row>
    <row r="1467" ht="15.75" customHeight="1">
      <c r="A1467" s="148"/>
      <c r="B1467" s="132" t="s">
        <v>322</v>
      </c>
      <c r="C1467" s="133">
        <v>1908212.0</v>
      </c>
      <c r="D1467" s="149" t="s">
        <v>397</v>
      </c>
      <c r="E1467" s="150" t="s">
        <v>398</v>
      </c>
      <c r="F1467" s="151" t="s">
        <v>1177</v>
      </c>
      <c r="G1467" s="148"/>
    </row>
    <row r="1468" ht="15.75" customHeight="1">
      <c r="A1468" s="148"/>
      <c r="B1468" s="132" t="s">
        <v>322</v>
      </c>
      <c r="C1468" s="133">
        <v>1908213.0</v>
      </c>
      <c r="D1468" s="149" t="s">
        <v>397</v>
      </c>
      <c r="E1468" s="150" t="s">
        <v>398</v>
      </c>
      <c r="F1468" s="151" t="s">
        <v>1177</v>
      </c>
      <c r="G1468" s="148"/>
    </row>
    <row r="1469" ht="15.75" customHeight="1">
      <c r="A1469" s="148"/>
      <c r="B1469" s="132" t="s">
        <v>322</v>
      </c>
      <c r="C1469" s="133">
        <v>1908214.0</v>
      </c>
      <c r="D1469" s="149" t="s">
        <v>397</v>
      </c>
      <c r="E1469" s="150" t="s">
        <v>398</v>
      </c>
      <c r="F1469" s="151" t="s">
        <v>1177</v>
      </c>
      <c r="G1469" s="148"/>
    </row>
    <row r="1470" ht="15.75" customHeight="1">
      <c r="A1470" s="148"/>
      <c r="B1470" s="132" t="s">
        <v>322</v>
      </c>
      <c r="C1470" s="133">
        <v>1908215.0</v>
      </c>
      <c r="D1470" s="149" t="s">
        <v>397</v>
      </c>
      <c r="E1470" s="150" t="s">
        <v>398</v>
      </c>
      <c r="F1470" s="151" t="s">
        <v>1177</v>
      </c>
      <c r="G1470" s="148"/>
    </row>
    <row r="1471" ht="15.75" customHeight="1">
      <c r="A1471" s="148"/>
      <c r="B1471" s="132" t="s">
        <v>322</v>
      </c>
      <c r="C1471" s="133">
        <v>1908216.0</v>
      </c>
      <c r="D1471" s="149" t="s">
        <v>397</v>
      </c>
      <c r="E1471" s="150" t="s">
        <v>398</v>
      </c>
      <c r="F1471" s="151" t="s">
        <v>1177</v>
      </c>
      <c r="G1471" s="148"/>
    </row>
    <row r="1472" ht="15.75" customHeight="1">
      <c r="A1472" s="148"/>
      <c r="B1472" s="132" t="s">
        <v>322</v>
      </c>
      <c r="C1472" s="133">
        <v>1908217.0</v>
      </c>
      <c r="D1472" s="149" t="s">
        <v>397</v>
      </c>
      <c r="E1472" s="150" t="s">
        <v>398</v>
      </c>
      <c r="F1472" s="151" t="s">
        <v>1177</v>
      </c>
      <c r="G1472" s="148"/>
    </row>
    <row r="1473" ht="15.75" customHeight="1">
      <c r="A1473" s="148"/>
      <c r="B1473" s="132" t="s">
        <v>322</v>
      </c>
      <c r="C1473" s="133">
        <v>1908218.0</v>
      </c>
      <c r="D1473" s="149" t="s">
        <v>397</v>
      </c>
      <c r="E1473" s="150" t="s">
        <v>398</v>
      </c>
      <c r="F1473" s="151" t="s">
        <v>1177</v>
      </c>
      <c r="G1473" s="148"/>
    </row>
    <row r="1474" ht="15.75" customHeight="1">
      <c r="A1474" s="148"/>
      <c r="B1474" s="132" t="s">
        <v>322</v>
      </c>
      <c r="C1474" s="133">
        <v>1908219.0</v>
      </c>
      <c r="D1474" s="149" t="s">
        <v>397</v>
      </c>
      <c r="E1474" s="150" t="s">
        <v>398</v>
      </c>
      <c r="F1474" s="151" t="s">
        <v>1177</v>
      </c>
      <c r="G1474" s="148"/>
    </row>
    <row r="1475" ht="15.75" customHeight="1">
      <c r="A1475" s="148"/>
      <c r="B1475" s="132" t="s">
        <v>322</v>
      </c>
      <c r="C1475" s="133">
        <v>1908220.0</v>
      </c>
      <c r="D1475" s="149" t="s">
        <v>397</v>
      </c>
      <c r="E1475" s="150" t="s">
        <v>398</v>
      </c>
      <c r="F1475" s="151" t="s">
        <v>1177</v>
      </c>
      <c r="G1475" s="148"/>
    </row>
    <row r="1476" ht="15.75" customHeight="1">
      <c r="A1476" s="148"/>
      <c r="B1476" s="132" t="s">
        <v>322</v>
      </c>
      <c r="C1476" s="133">
        <v>1908221.0</v>
      </c>
      <c r="D1476" s="149" t="s">
        <v>397</v>
      </c>
      <c r="E1476" s="150" t="s">
        <v>398</v>
      </c>
      <c r="F1476" s="151" t="s">
        <v>1177</v>
      </c>
      <c r="G1476" s="148"/>
    </row>
    <row r="1477" ht="15.75" customHeight="1">
      <c r="A1477" s="148"/>
      <c r="B1477" s="132" t="s">
        <v>322</v>
      </c>
      <c r="C1477" s="133">
        <v>1908222.0</v>
      </c>
      <c r="D1477" s="149" t="s">
        <v>397</v>
      </c>
      <c r="E1477" s="150" t="s">
        <v>398</v>
      </c>
      <c r="F1477" s="151" t="s">
        <v>1177</v>
      </c>
      <c r="G1477" s="148"/>
    </row>
    <row r="1478" ht="15.75" customHeight="1">
      <c r="A1478" s="148"/>
      <c r="B1478" s="132" t="s">
        <v>322</v>
      </c>
      <c r="C1478" s="133">
        <v>1908223.0</v>
      </c>
      <c r="D1478" s="149" t="s">
        <v>397</v>
      </c>
      <c r="E1478" s="150" t="s">
        <v>398</v>
      </c>
      <c r="F1478" s="151" t="s">
        <v>1177</v>
      </c>
      <c r="G1478" s="148"/>
    </row>
    <row r="1479" ht="15.75" customHeight="1">
      <c r="A1479" s="148"/>
      <c r="B1479" s="132" t="s">
        <v>322</v>
      </c>
      <c r="C1479" s="133">
        <v>1908224.0</v>
      </c>
      <c r="D1479" s="149" t="s">
        <v>397</v>
      </c>
      <c r="E1479" s="150" t="s">
        <v>398</v>
      </c>
      <c r="F1479" s="151" t="s">
        <v>1177</v>
      </c>
      <c r="G1479" s="148"/>
    </row>
    <row r="1480" ht="15.75" customHeight="1">
      <c r="A1480" s="148"/>
      <c r="B1480" s="132" t="s">
        <v>322</v>
      </c>
      <c r="C1480" s="133">
        <v>1908225.0</v>
      </c>
      <c r="D1480" s="149" t="s">
        <v>397</v>
      </c>
      <c r="E1480" s="150" t="s">
        <v>398</v>
      </c>
      <c r="F1480" s="151" t="s">
        <v>1177</v>
      </c>
      <c r="G1480" s="148"/>
    </row>
    <row r="1481" ht="15.75" customHeight="1">
      <c r="A1481" s="148"/>
      <c r="B1481" s="132" t="s">
        <v>322</v>
      </c>
      <c r="C1481" s="133">
        <v>1908226.0</v>
      </c>
      <c r="D1481" s="149" t="s">
        <v>397</v>
      </c>
      <c r="E1481" s="150" t="s">
        <v>398</v>
      </c>
      <c r="F1481" s="151" t="s">
        <v>1177</v>
      </c>
      <c r="G1481" s="148"/>
    </row>
    <row r="1482" ht="15.75" customHeight="1">
      <c r="A1482" s="148"/>
      <c r="B1482" s="132" t="s">
        <v>322</v>
      </c>
      <c r="C1482" s="133">
        <v>1908227.0</v>
      </c>
      <c r="D1482" s="149" t="s">
        <v>397</v>
      </c>
      <c r="E1482" s="150" t="s">
        <v>398</v>
      </c>
      <c r="F1482" s="151" t="s">
        <v>1177</v>
      </c>
      <c r="G1482" s="148"/>
    </row>
    <row r="1483" ht="15.75" customHeight="1">
      <c r="A1483" s="148"/>
      <c r="B1483" s="132" t="s">
        <v>322</v>
      </c>
      <c r="C1483" s="133">
        <v>1908228.0</v>
      </c>
      <c r="D1483" s="149" t="s">
        <v>397</v>
      </c>
      <c r="E1483" s="150" t="s">
        <v>398</v>
      </c>
      <c r="F1483" s="151" t="s">
        <v>1177</v>
      </c>
      <c r="G1483" s="148"/>
    </row>
    <row r="1484" ht="15.75" customHeight="1">
      <c r="A1484" s="148"/>
      <c r="B1484" s="132" t="s">
        <v>322</v>
      </c>
      <c r="C1484" s="133">
        <v>1908229.0</v>
      </c>
      <c r="D1484" s="152" t="s">
        <v>543</v>
      </c>
      <c r="E1484" s="125" t="s">
        <v>296</v>
      </c>
      <c r="F1484" s="151" t="s">
        <v>1177</v>
      </c>
      <c r="G1484" s="148"/>
    </row>
    <row r="1485" ht="15.75" customHeight="1">
      <c r="A1485" s="148"/>
      <c r="B1485" s="132" t="s">
        <v>322</v>
      </c>
      <c r="C1485" s="133">
        <v>1908230.0</v>
      </c>
      <c r="D1485" s="152" t="s">
        <v>543</v>
      </c>
      <c r="E1485" s="125" t="s">
        <v>296</v>
      </c>
      <c r="F1485" s="151" t="s">
        <v>1177</v>
      </c>
      <c r="G1485" s="148"/>
    </row>
    <row r="1486" ht="15.75" customHeight="1">
      <c r="A1486" s="148"/>
      <c r="B1486" s="132" t="s">
        <v>322</v>
      </c>
      <c r="C1486" s="133">
        <v>1908231.0</v>
      </c>
      <c r="D1486" s="152" t="s">
        <v>543</v>
      </c>
      <c r="E1486" s="125" t="s">
        <v>296</v>
      </c>
      <c r="F1486" s="151" t="s">
        <v>1177</v>
      </c>
      <c r="G1486" s="148"/>
    </row>
    <row r="1487" ht="15.75" customHeight="1">
      <c r="A1487" s="148"/>
      <c r="B1487" s="132" t="s">
        <v>322</v>
      </c>
      <c r="C1487" s="133">
        <v>1908232.0</v>
      </c>
      <c r="D1487" s="152" t="s">
        <v>543</v>
      </c>
      <c r="E1487" s="125" t="s">
        <v>296</v>
      </c>
      <c r="F1487" s="151" t="s">
        <v>1177</v>
      </c>
      <c r="G1487" s="148"/>
    </row>
    <row r="1488" ht="15.75" customHeight="1">
      <c r="A1488" s="148"/>
      <c r="B1488" s="132" t="s">
        <v>322</v>
      </c>
      <c r="C1488" s="133">
        <v>1908233.0</v>
      </c>
      <c r="D1488" s="152" t="s">
        <v>543</v>
      </c>
      <c r="E1488" s="125" t="s">
        <v>296</v>
      </c>
      <c r="F1488" s="151" t="s">
        <v>1177</v>
      </c>
      <c r="G1488" s="148"/>
    </row>
    <row r="1489" ht="15.75" customHeight="1">
      <c r="A1489" s="148"/>
      <c r="B1489" s="132" t="s">
        <v>322</v>
      </c>
      <c r="C1489" s="133">
        <v>1908234.0</v>
      </c>
      <c r="D1489" s="152" t="s">
        <v>543</v>
      </c>
      <c r="E1489" s="125" t="s">
        <v>296</v>
      </c>
      <c r="F1489" s="151" t="s">
        <v>1177</v>
      </c>
      <c r="G1489" s="148"/>
    </row>
    <row r="1490" ht="15.75" customHeight="1">
      <c r="A1490" s="148"/>
      <c r="B1490" s="132" t="s">
        <v>322</v>
      </c>
      <c r="C1490" s="133">
        <v>1908235.0</v>
      </c>
      <c r="D1490" s="152" t="s">
        <v>543</v>
      </c>
      <c r="E1490" s="125" t="s">
        <v>296</v>
      </c>
      <c r="F1490" s="151" t="s">
        <v>1177</v>
      </c>
      <c r="G1490" s="148"/>
    </row>
    <row r="1491" ht="15.75" customHeight="1">
      <c r="A1491" s="148"/>
      <c r="B1491" s="132" t="s">
        <v>322</v>
      </c>
      <c r="C1491" s="133">
        <v>1908236.0</v>
      </c>
      <c r="D1491" s="152" t="s">
        <v>543</v>
      </c>
      <c r="E1491" s="125" t="s">
        <v>296</v>
      </c>
      <c r="F1491" s="151" t="s">
        <v>1177</v>
      </c>
      <c r="G1491" s="148"/>
    </row>
    <row r="1492" ht="15.75" customHeight="1">
      <c r="A1492" s="148"/>
      <c r="B1492" s="132" t="s">
        <v>322</v>
      </c>
      <c r="C1492" s="133">
        <v>1908237.0</v>
      </c>
      <c r="D1492" s="152" t="s">
        <v>543</v>
      </c>
      <c r="E1492" s="125" t="s">
        <v>296</v>
      </c>
      <c r="F1492" s="151" t="s">
        <v>1177</v>
      </c>
      <c r="G1492" s="148"/>
    </row>
    <row r="1493" ht="15.75" customHeight="1">
      <c r="A1493" s="148"/>
      <c r="B1493" s="132" t="s">
        <v>322</v>
      </c>
      <c r="C1493" s="133">
        <v>1908238.0</v>
      </c>
      <c r="D1493" s="152" t="s">
        <v>543</v>
      </c>
      <c r="E1493" s="125" t="s">
        <v>296</v>
      </c>
      <c r="F1493" s="151" t="s">
        <v>1177</v>
      </c>
      <c r="G1493" s="148"/>
    </row>
    <row r="1494" ht="15.75" customHeight="1">
      <c r="A1494" s="148"/>
      <c r="B1494" s="132" t="s">
        <v>322</v>
      </c>
      <c r="C1494" s="133">
        <v>1908239.0</v>
      </c>
      <c r="D1494" s="152" t="s">
        <v>543</v>
      </c>
      <c r="E1494" s="125" t="s">
        <v>296</v>
      </c>
      <c r="F1494" s="151" t="s">
        <v>1177</v>
      </c>
      <c r="G1494" s="148"/>
    </row>
    <row r="1495" ht="15.75" customHeight="1">
      <c r="A1495" s="148"/>
      <c r="B1495" s="132" t="s">
        <v>322</v>
      </c>
      <c r="C1495" s="133">
        <v>1908240.0</v>
      </c>
      <c r="D1495" s="152" t="s">
        <v>543</v>
      </c>
      <c r="E1495" s="125" t="s">
        <v>296</v>
      </c>
      <c r="F1495" s="151" t="s">
        <v>1177</v>
      </c>
      <c r="G1495" s="148"/>
    </row>
    <row r="1496" ht="15.75" customHeight="1">
      <c r="A1496" s="148"/>
      <c r="B1496" s="132" t="s">
        <v>322</v>
      </c>
      <c r="C1496" s="133">
        <v>1908241.0</v>
      </c>
      <c r="D1496" s="152" t="s">
        <v>543</v>
      </c>
      <c r="E1496" s="125" t="s">
        <v>296</v>
      </c>
      <c r="F1496" s="151" t="s">
        <v>1177</v>
      </c>
      <c r="G1496" s="148"/>
    </row>
    <row r="1497" ht="15.75" customHeight="1">
      <c r="A1497" s="148"/>
      <c r="B1497" s="132" t="s">
        <v>322</v>
      </c>
      <c r="C1497" s="133">
        <v>1908242.0</v>
      </c>
      <c r="D1497" s="152" t="s">
        <v>543</v>
      </c>
      <c r="E1497" s="125" t="s">
        <v>296</v>
      </c>
      <c r="F1497" s="151" t="s">
        <v>1177</v>
      </c>
      <c r="G1497" s="148"/>
    </row>
    <row r="1498" ht="15.75" customHeight="1">
      <c r="A1498" s="148"/>
      <c r="B1498" s="132" t="s">
        <v>322</v>
      </c>
      <c r="C1498" s="133">
        <v>1908243.0</v>
      </c>
      <c r="D1498" s="152" t="s">
        <v>543</v>
      </c>
      <c r="E1498" s="125" t="s">
        <v>296</v>
      </c>
      <c r="F1498" s="151" t="s">
        <v>1177</v>
      </c>
      <c r="G1498" s="148"/>
    </row>
    <row r="1499" ht="15.75" customHeight="1">
      <c r="A1499" s="148"/>
      <c r="B1499" s="132" t="s">
        <v>322</v>
      </c>
      <c r="C1499" s="133">
        <v>1908244.0</v>
      </c>
      <c r="D1499" s="152" t="s">
        <v>543</v>
      </c>
      <c r="E1499" s="125" t="s">
        <v>296</v>
      </c>
      <c r="F1499" s="151" t="s">
        <v>1177</v>
      </c>
      <c r="G1499" s="148"/>
    </row>
    <row r="1500" ht="15.75" customHeight="1">
      <c r="A1500" s="148"/>
      <c r="B1500" s="132" t="s">
        <v>322</v>
      </c>
      <c r="C1500" s="133">
        <v>1908245.0</v>
      </c>
      <c r="D1500" s="152" t="s">
        <v>543</v>
      </c>
      <c r="E1500" s="125" t="s">
        <v>296</v>
      </c>
      <c r="F1500" s="151" t="s">
        <v>1177</v>
      </c>
      <c r="G1500" s="148"/>
    </row>
    <row r="1501" ht="15.75" customHeight="1">
      <c r="A1501" s="148"/>
      <c r="B1501" s="132" t="s">
        <v>322</v>
      </c>
      <c r="C1501" s="133">
        <v>1908246.0</v>
      </c>
      <c r="D1501" s="152" t="s">
        <v>543</v>
      </c>
      <c r="E1501" s="125" t="s">
        <v>296</v>
      </c>
      <c r="F1501" s="151" t="s">
        <v>1177</v>
      </c>
      <c r="G1501" s="148"/>
    </row>
    <row r="1502" ht="15.75" customHeight="1">
      <c r="A1502" s="148"/>
      <c r="B1502" s="132" t="s">
        <v>322</v>
      </c>
      <c r="C1502" s="133">
        <v>1908247.0</v>
      </c>
      <c r="D1502" s="152" t="s">
        <v>543</v>
      </c>
      <c r="E1502" s="125" t="s">
        <v>296</v>
      </c>
      <c r="F1502" s="151" t="s">
        <v>1177</v>
      </c>
      <c r="G1502" s="148"/>
    </row>
    <row r="1503" ht="15.75" customHeight="1">
      <c r="A1503" s="148"/>
      <c r="B1503" s="132" t="s">
        <v>322</v>
      </c>
      <c r="C1503" s="133">
        <v>1908248.0</v>
      </c>
      <c r="D1503" s="152" t="s">
        <v>543</v>
      </c>
      <c r="E1503" s="125" t="s">
        <v>296</v>
      </c>
      <c r="F1503" s="151" t="s">
        <v>1177</v>
      </c>
      <c r="G1503" s="148"/>
    </row>
    <row r="1504" ht="15.75" customHeight="1">
      <c r="A1504" s="148"/>
      <c r="B1504" s="132" t="s">
        <v>322</v>
      </c>
      <c r="C1504" s="133">
        <v>1908249.0</v>
      </c>
      <c r="D1504" s="152" t="s">
        <v>543</v>
      </c>
      <c r="E1504" s="125" t="s">
        <v>296</v>
      </c>
      <c r="F1504" s="151" t="s">
        <v>1177</v>
      </c>
      <c r="G1504" s="148"/>
    </row>
    <row r="1505" ht="15.75" customHeight="1">
      <c r="A1505" s="148"/>
      <c r="B1505" s="132" t="s">
        <v>322</v>
      </c>
      <c r="C1505" s="133">
        <v>1908250.0</v>
      </c>
      <c r="D1505" s="152" t="s">
        <v>543</v>
      </c>
      <c r="E1505" s="125" t="s">
        <v>296</v>
      </c>
      <c r="F1505" s="151" t="s">
        <v>1177</v>
      </c>
      <c r="G1505" s="148"/>
    </row>
    <row r="1506" ht="15.75" customHeight="1">
      <c r="A1506" s="148"/>
      <c r="B1506" s="132" t="s">
        <v>322</v>
      </c>
      <c r="C1506" s="133">
        <v>1908251.0</v>
      </c>
      <c r="D1506" s="152" t="s">
        <v>543</v>
      </c>
      <c r="E1506" s="125" t="s">
        <v>296</v>
      </c>
      <c r="F1506" s="151" t="s">
        <v>1177</v>
      </c>
      <c r="G1506" s="148"/>
    </row>
    <row r="1507" ht="15.75" customHeight="1">
      <c r="A1507" s="148"/>
      <c r="B1507" s="132" t="s">
        <v>322</v>
      </c>
      <c r="C1507" s="133">
        <v>1908252.0</v>
      </c>
      <c r="D1507" s="152" t="s">
        <v>543</v>
      </c>
      <c r="E1507" s="125" t="s">
        <v>296</v>
      </c>
      <c r="F1507" s="151" t="s">
        <v>1177</v>
      </c>
      <c r="G1507" s="148"/>
    </row>
    <row r="1508" ht="15.75" customHeight="1">
      <c r="A1508" s="148"/>
      <c r="B1508" s="132" t="s">
        <v>322</v>
      </c>
      <c r="C1508" s="133">
        <v>1908253.0</v>
      </c>
      <c r="D1508" s="152" t="s">
        <v>543</v>
      </c>
      <c r="E1508" s="125" t="s">
        <v>296</v>
      </c>
      <c r="F1508" s="151" t="s">
        <v>1177</v>
      </c>
      <c r="G1508" s="148"/>
    </row>
    <row r="1509" ht="15.75" customHeight="1">
      <c r="A1509" s="148"/>
      <c r="B1509" s="132" t="s">
        <v>322</v>
      </c>
      <c r="C1509" s="133">
        <v>1908254.0</v>
      </c>
      <c r="D1509" s="152" t="s">
        <v>543</v>
      </c>
      <c r="E1509" s="125" t="s">
        <v>296</v>
      </c>
      <c r="F1509" s="151" t="s">
        <v>1177</v>
      </c>
      <c r="G1509" s="148"/>
    </row>
    <row r="1510" ht="15.75" customHeight="1">
      <c r="A1510" s="148"/>
      <c r="B1510" s="132" t="s">
        <v>322</v>
      </c>
      <c r="C1510" s="133">
        <v>1908255.0</v>
      </c>
      <c r="D1510" s="152" t="s">
        <v>543</v>
      </c>
      <c r="E1510" s="125" t="s">
        <v>296</v>
      </c>
      <c r="F1510" s="151" t="s">
        <v>1177</v>
      </c>
      <c r="G1510" s="148"/>
    </row>
    <row r="1511" ht="15.75" customHeight="1">
      <c r="A1511" s="148"/>
      <c r="B1511" s="132" t="s">
        <v>322</v>
      </c>
      <c r="C1511" s="133">
        <v>1908256.0</v>
      </c>
      <c r="D1511" s="152" t="s">
        <v>543</v>
      </c>
      <c r="E1511" s="125" t="s">
        <v>296</v>
      </c>
      <c r="F1511" s="151" t="s">
        <v>1177</v>
      </c>
      <c r="G1511" s="148"/>
    </row>
    <row r="1512" ht="15.75" customHeight="1">
      <c r="A1512" s="148"/>
      <c r="B1512" s="132" t="s">
        <v>322</v>
      </c>
      <c r="C1512" s="133">
        <v>1908257.0</v>
      </c>
      <c r="D1512" s="152" t="s">
        <v>543</v>
      </c>
      <c r="E1512" s="125" t="s">
        <v>296</v>
      </c>
      <c r="F1512" s="151" t="s">
        <v>1177</v>
      </c>
      <c r="G1512" s="148"/>
    </row>
    <row r="1513" ht="15.75" customHeight="1">
      <c r="A1513" s="148"/>
      <c r="B1513" s="132" t="s">
        <v>322</v>
      </c>
      <c r="C1513" s="133">
        <v>1908258.0</v>
      </c>
      <c r="D1513" s="152" t="s">
        <v>543</v>
      </c>
      <c r="E1513" s="125" t="s">
        <v>296</v>
      </c>
      <c r="F1513" s="151" t="s">
        <v>1177</v>
      </c>
      <c r="G1513" s="148"/>
    </row>
    <row r="1514" ht="15.75" customHeight="1">
      <c r="A1514" s="148"/>
      <c r="B1514" s="132" t="s">
        <v>322</v>
      </c>
      <c r="C1514" s="133">
        <v>1908259.0</v>
      </c>
      <c r="D1514" s="152" t="s">
        <v>543</v>
      </c>
      <c r="E1514" s="125" t="s">
        <v>296</v>
      </c>
      <c r="F1514" s="151" t="s">
        <v>1177</v>
      </c>
      <c r="G1514" s="148"/>
    </row>
    <row r="1515" ht="15.75" customHeight="1">
      <c r="A1515" s="148"/>
      <c r="B1515" s="132" t="s">
        <v>322</v>
      </c>
      <c r="C1515" s="133">
        <v>1908260.0</v>
      </c>
      <c r="D1515" s="152" t="s">
        <v>543</v>
      </c>
      <c r="E1515" s="125" t="s">
        <v>296</v>
      </c>
      <c r="F1515" s="151" t="s">
        <v>1177</v>
      </c>
      <c r="G1515" s="148"/>
    </row>
    <row r="1516" ht="15.75" customHeight="1">
      <c r="A1516" s="148"/>
      <c r="B1516" s="132" t="s">
        <v>322</v>
      </c>
      <c r="C1516" s="133">
        <v>1908261.0</v>
      </c>
      <c r="D1516" s="152" t="s">
        <v>543</v>
      </c>
      <c r="E1516" s="125" t="s">
        <v>296</v>
      </c>
      <c r="F1516" s="151" t="s">
        <v>1177</v>
      </c>
      <c r="G1516" s="148"/>
    </row>
    <row r="1517" ht="15.75" customHeight="1">
      <c r="A1517" s="148"/>
      <c r="B1517" s="132" t="s">
        <v>322</v>
      </c>
      <c r="C1517" s="133">
        <v>1908262.0</v>
      </c>
      <c r="D1517" s="152" t="s">
        <v>543</v>
      </c>
      <c r="E1517" s="125" t="s">
        <v>296</v>
      </c>
      <c r="F1517" s="151" t="s">
        <v>1177</v>
      </c>
      <c r="G1517" s="148"/>
    </row>
    <row r="1518" ht="15.75" customHeight="1">
      <c r="A1518" s="148"/>
      <c r="B1518" s="132" t="s">
        <v>322</v>
      </c>
      <c r="C1518" s="133">
        <v>1908263.0</v>
      </c>
      <c r="D1518" s="152" t="s">
        <v>543</v>
      </c>
      <c r="E1518" s="125" t="s">
        <v>296</v>
      </c>
      <c r="F1518" s="151" t="s">
        <v>1177</v>
      </c>
      <c r="G1518" s="148"/>
    </row>
    <row r="1519" ht="15.75" customHeight="1">
      <c r="A1519" s="148"/>
      <c r="B1519" s="132" t="s">
        <v>322</v>
      </c>
      <c r="C1519" s="133">
        <v>1908264.0</v>
      </c>
      <c r="D1519" s="152" t="s">
        <v>543</v>
      </c>
      <c r="E1519" s="125" t="s">
        <v>296</v>
      </c>
      <c r="F1519" s="151" t="s">
        <v>1177</v>
      </c>
      <c r="G1519" s="148"/>
    </row>
    <row r="1520" ht="15.75" customHeight="1">
      <c r="A1520" s="148"/>
      <c r="B1520" s="132" t="s">
        <v>322</v>
      </c>
      <c r="C1520" s="133">
        <v>1908265.0</v>
      </c>
      <c r="D1520" s="152" t="s">
        <v>543</v>
      </c>
      <c r="E1520" s="125" t="s">
        <v>296</v>
      </c>
      <c r="F1520" s="151" t="s">
        <v>1177</v>
      </c>
      <c r="G1520" s="148"/>
    </row>
    <row r="1521" ht="15.75" customHeight="1">
      <c r="A1521" s="148"/>
      <c r="B1521" s="132" t="s">
        <v>322</v>
      </c>
      <c r="C1521" s="133">
        <v>1908266.0</v>
      </c>
      <c r="D1521" s="152" t="s">
        <v>543</v>
      </c>
      <c r="E1521" s="125" t="s">
        <v>296</v>
      </c>
      <c r="F1521" s="151" t="s">
        <v>1177</v>
      </c>
      <c r="G1521" s="148"/>
    </row>
    <row r="1522" ht="15.75" customHeight="1">
      <c r="A1522" s="148"/>
      <c r="B1522" s="132" t="s">
        <v>322</v>
      </c>
      <c r="C1522" s="133">
        <v>1908267.0</v>
      </c>
      <c r="D1522" s="152" t="s">
        <v>543</v>
      </c>
      <c r="E1522" s="125" t="s">
        <v>296</v>
      </c>
      <c r="F1522" s="151" t="s">
        <v>1177</v>
      </c>
      <c r="G1522" s="148"/>
    </row>
    <row r="1523" ht="15.75" customHeight="1">
      <c r="A1523" s="148"/>
      <c r="B1523" s="132" t="s">
        <v>322</v>
      </c>
      <c r="C1523" s="133">
        <v>1908268.0</v>
      </c>
      <c r="D1523" s="152" t="s">
        <v>543</v>
      </c>
      <c r="E1523" s="125" t="s">
        <v>296</v>
      </c>
      <c r="F1523" s="151" t="s">
        <v>1177</v>
      </c>
      <c r="G1523" s="148"/>
    </row>
    <row r="1524" ht="15.75" customHeight="1">
      <c r="A1524" s="148"/>
      <c r="B1524" s="132" t="s">
        <v>322</v>
      </c>
      <c r="C1524" s="133">
        <v>1908269.0</v>
      </c>
      <c r="D1524" s="152" t="s">
        <v>543</v>
      </c>
      <c r="E1524" s="125" t="s">
        <v>296</v>
      </c>
      <c r="F1524" s="151" t="s">
        <v>1177</v>
      </c>
      <c r="G1524" s="148"/>
    </row>
    <row r="1525" ht="15.75" customHeight="1">
      <c r="A1525" s="148"/>
      <c r="B1525" s="132" t="s">
        <v>322</v>
      </c>
      <c r="C1525" s="133">
        <v>1908270.0</v>
      </c>
      <c r="D1525" s="152" t="s">
        <v>543</v>
      </c>
      <c r="E1525" s="125" t="s">
        <v>296</v>
      </c>
      <c r="F1525" s="151" t="s">
        <v>1177</v>
      </c>
      <c r="G1525" s="148"/>
    </row>
    <row r="1526" ht="15.75" customHeight="1">
      <c r="A1526" s="148"/>
      <c r="B1526" s="132" t="s">
        <v>322</v>
      </c>
      <c r="C1526" s="133">
        <v>1908271.0</v>
      </c>
      <c r="D1526" s="152" t="s">
        <v>543</v>
      </c>
      <c r="E1526" s="125" t="s">
        <v>296</v>
      </c>
      <c r="F1526" s="151" t="s">
        <v>1177</v>
      </c>
      <c r="G1526" s="148"/>
    </row>
    <row r="1527" ht="15.75" customHeight="1">
      <c r="A1527" s="148"/>
      <c r="B1527" s="132" t="s">
        <v>322</v>
      </c>
      <c r="C1527" s="133">
        <v>1908272.0</v>
      </c>
      <c r="D1527" s="152" t="s">
        <v>543</v>
      </c>
      <c r="E1527" s="125" t="s">
        <v>296</v>
      </c>
      <c r="F1527" s="151" t="s">
        <v>1177</v>
      </c>
      <c r="G1527" s="148"/>
    </row>
    <row r="1528" ht="15.75" customHeight="1">
      <c r="A1528" s="148"/>
      <c r="B1528" s="132" t="s">
        <v>322</v>
      </c>
      <c r="C1528" s="133">
        <v>1908273.0</v>
      </c>
      <c r="D1528" s="152" t="s">
        <v>543</v>
      </c>
      <c r="E1528" s="125" t="s">
        <v>296</v>
      </c>
      <c r="F1528" s="151" t="s">
        <v>1177</v>
      </c>
      <c r="G1528" s="148"/>
    </row>
    <row r="1529" ht="15.75" customHeight="1">
      <c r="A1529" s="148"/>
      <c r="B1529" s="132" t="s">
        <v>322</v>
      </c>
      <c r="C1529" s="133">
        <v>1908274.0</v>
      </c>
      <c r="D1529" s="152" t="s">
        <v>543</v>
      </c>
      <c r="E1529" s="125" t="s">
        <v>296</v>
      </c>
      <c r="F1529" s="151" t="s">
        <v>1177</v>
      </c>
      <c r="G1529" s="148"/>
    </row>
    <row r="1530" ht="15.75" customHeight="1">
      <c r="A1530" s="148"/>
      <c r="B1530" s="132" t="s">
        <v>322</v>
      </c>
      <c r="C1530" s="133">
        <v>1908275.0</v>
      </c>
      <c r="D1530" s="152" t="s">
        <v>543</v>
      </c>
      <c r="E1530" s="125" t="s">
        <v>296</v>
      </c>
      <c r="F1530" s="151" t="s">
        <v>1177</v>
      </c>
      <c r="G1530" s="148"/>
    </row>
    <row r="1531" ht="15.75" customHeight="1">
      <c r="A1531" s="148"/>
      <c r="B1531" s="132" t="s">
        <v>322</v>
      </c>
      <c r="C1531" s="133">
        <v>1908276.0</v>
      </c>
      <c r="D1531" s="152" t="s">
        <v>543</v>
      </c>
      <c r="E1531" s="125" t="s">
        <v>296</v>
      </c>
      <c r="F1531" s="151" t="s">
        <v>1177</v>
      </c>
      <c r="G1531" s="148"/>
    </row>
    <row r="1532" ht="15.75" customHeight="1">
      <c r="A1532" s="148"/>
      <c r="B1532" s="132" t="s">
        <v>322</v>
      </c>
      <c r="C1532" s="133">
        <v>1908277.0</v>
      </c>
      <c r="D1532" s="152" t="s">
        <v>543</v>
      </c>
      <c r="E1532" s="125" t="s">
        <v>296</v>
      </c>
      <c r="F1532" s="151" t="s">
        <v>1177</v>
      </c>
      <c r="G1532" s="148"/>
    </row>
    <row r="1533" ht="15.75" customHeight="1">
      <c r="A1533" s="148"/>
      <c r="B1533" s="132" t="s">
        <v>322</v>
      </c>
      <c r="C1533" s="133">
        <v>1908278.0</v>
      </c>
      <c r="D1533" s="152" t="s">
        <v>543</v>
      </c>
      <c r="E1533" s="125" t="s">
        <v>296</v>
      </c>
      <c r="F1533" s="151" t="s">
        <v>1177</v>
      </c>
      <c r="G1533" s="148"/>
    </row>
    <row r="1534" ht="15.75" customHeight="1">
      <c r="A1534" s="148"/>
      <c r="B1534" s="132" t="s">
        <v>322</v>
      </c>
      <c r="C1534" s="133">
        <v>1908279.0</v>
      </c>
      <c r="D1534" s="152" t="s">
        <v>543</v>
      </c>
      <c r="E1534" s="125" t="s">
        <v>296</v>
      </c>
      <c r="F1534" s="151" t="s">
        <v>1177</v>
      </c>
      <c r="G1534" s="148"/>
    </row>
    <row r="1535" ht="15.75" customHeight="1">
      <c r="A1535" s="148"/>
      <c r="B1535" s="132" t="s">
        <v>322</v>
      </c>
      <c r="C1535" s="133">
        <v>1908280.0</v>
      </c>
      <c r="D1535" s="152" t="s">
        <v>543</v>
      </c>
      <c r="E1535" s="125" t="s">
        <v>296</v>
      </c>
      <c r="F1535" s="151" t="s">
        <v>1177</v>
      </c>
      <c r="G1535" s="148"/>
    </row>
    <row r="1536" ht="15.75" customHeight="1">
      <c r="A1536" s="148"/>
      <c r="B1536" s="132" t="s">
        <v>322</v>
      </c>
      <c r="C1536" s="133">
        <v>1908281.0</v>
      </c>
      <c r="D1536" s="152" t="s">
        <v>543</v>
      </c>
      <c r="E1536" s="125" t="s">
        <v>296</v>
      </c>
      <c r="F1536" s="151" t="s">
        <v>1177</v>
      </c>
      <c r="G1536" s="148"/>
    </row>
    <row r="1537" ht="15.75" customHeight="1">
      <c r="A1537" s="148"/>
      <c r="B1537" s="132" t="s">
        <v>322</v>
      </c>
      <c r="C1537" s="133">
        <v>1908282.0</v>
      </c>
      <c r="D1537" s="152" t="s">
        <v>543</v>
      </c>
      <c r="E1537" s="125" t="s">
        <v>296</v>
      </c>
      <c r="F1537" s="151" t="s">
        <v>1177</v>
      </c>
      <c r="G1537" s="148"/>
    </row>
    <row r="1538" ht="15.75" customHeight="1">
      <c r="A1538" s="148"/>
      <c r="B1538" s="132" t="s">
        <v>322</v>
      </c>
      <c r="C1538" s="133">
        <v>1908283.0</v>
      </c>
      <c r="D1538" s="152" t="s">
        <v>543</v>
      </c>
      <c r="E1538" s="125" t="s">
        <v>296</v>
      </c>
      <c r="F1538" s="151" t="s">
        <v>1177</v>
      </c>
      <c r="G1538" s="148"/>
    </row>
    <row r="1539" ht="15.75" customHeight="1">
      <c r="A1539" s="148"/>
      <c r="B1539" s="132" t="s">
        <v>322</v>
      </c>
      <c r="C1539" s="133">
        <v>1908284.0</v>
      </c>
      <c r="D1539" s="152" t="s">
        <v>543</v>
      </c>
      <c r="E1539" s="125" t="s">
        <v>296</v>
      </c>
      <c r="F1539" s="151" t="s">
        <v>1177</v>
      </c>
      <c r="G1539" s="148"/>
    </row>
    <row r="1540" ht="15.75" customHeight="1">
      <c r="A1540" s="148"/>
      <c r="B1540" s="132" t="s">
        <v>322</v>
      </c>
      <c r="C1540" s="133">
        <v>1908285.0</v>
      </c>
      <c r="D1540" s="152" t="s">
        <v>543</v>
      </c>
      <c r="E1540" s="125" t="s">
        <v>296</v>
      </c>
      <c r="F1540" s="151" t="s">
        <v>1177</v>
      </c>
      <c r="G1540" s="148"/>
    </row>
    <row r="1541" ht="15.75" customHeight="1">
      <c r="A1541" s="148"/>
      <c r="B1541" s="132" t="s">
        <v>322</v>
      </c>
      <c r="C1541" s="133">
        <v>1908286.0</v>
      </c>
      <c r="D1541" s="152" t="s">
        <v>543</v>
      </c>
      <c r="E1541" s="125" t="s">
        <v>296</v>
      </c>
      <c r="F1541" s="151" t="s">
        <v>1177</v>
      </c>
      <c r="G1541" s="148"/>
    </row>
    <row r="1542" ht="15.75" customHeight="1">
      <c r="A1542" s="148"/>
      <c r="B1542" s="132" t="s">
        <v>322</v>
      </c>
      <c r="C1542" s="133">
        <v>1908287.0</v>
      </c>
      <c r="D1542" s="152" t="s">
        <v>543</v>
      </c>
      <c r="E1542" s="125" t="s">
        <v>296</v>
      </c>
      <c r="F1542" s="151" t="s">
        <v>1177</v>
      </c>
      <c r="G1542" s="148"/>
    </row>
    <row r="1543" ht="15.75" customHeight="1">
      <c r="A1543" s="148"/>
      <c r="B1543" s="132" t="s">
        <v>322</v>
      </c>
      <c r="C1543" s="133">
        <v>1908288.0</v>
      </c>
      <c r="D1543" s="152" t="s">
        <v>543</v>
      </c>
      <c r="E1543" s="125" t="s">
        <v>296</v>
      </c>
      <c r="F1543" s="151" t="s">
        <v>1177</v>
      </c>
      <c r="G1543" s="148"/>
    </row>
    <row r="1544" ht="15.75" customHeight="1">
      <c r="A1544" s="148"/>
      <c r="B1544" s="132" t="s">
        <v>322</v>
      </c>
      <c r="C1544" s="133">
        <v>1908289.0</v>
      </c>
      <c r="D1544" s="152" t="s">
        <v>543</v>
      </c>
      <c r="E1544" s="125" t="s">
        <v>296</v>
      </c>
      <c r="F1544" s="151" t="s">
        <v>1177</v>
      </c>
      <c r="G1544" s="148"/>
    </row>
    <row r="1545" ht="15.75" customHeight="1">
      <c r="A1545" s="148"/>
      <c r="B1545" s="132" t="s">
        <v>322</v>
      </c>
      <c r="C1545" s="133">
        <v>1908290.0</v>
      </c>
      <c r="D1545" s="152" t="s">
        <v>543</v>
      </c>
      <c r="E1545" s="125" t="s">
        <v>296</v>
      </c>
      <c r="F1545" s="151" t="s">
        <v>1177</v>
      </c>
      <c r="G1545" s="148"/>
    </row>
    <row r="1546" ht="15.75" customHeight="1">
      <c r="A1546" s="148"/>
      <c r="B1546" s="132" t="s">
        <v>322</v>
      </c>
      <c r="C1546" s="133">
        <v>1908291.0</v>
      </c>
      <c r="D1546" s="152" t="s">
        <v>543</v>
      </c>
      <c r="E1546" s="125" t="s">
        <v>296</v>
      </c>
      <c r="F1546" s="151" t="s">
        <v>1177</v>
      </c>
      <c r="G1546" s="148"/>
    </row>
    <row r="1547" ht="15.75" customHeight="1">
      <c r="A1547" s="148"/>
      <c r="B1547" s="132" t="s">
        <v>322</v>
      </c>
      <c r="C1547" s="133">
        <v>1908292.0</v>
      </c>
      <c r="D1547" s="152" t="s">
        <v>543</v>
      </c>
      <c r="E1547" s="125" t="s">
        <v>296</v>
      </c>
      <c r="F1547" s="151" t="s">
        <v>1177</v>
      </c>
      <c r="G1547" s="148"/>
    </row>
    <row r="1548" ht="15.75" customHeight="1">
      <c r="A1548" s="148"/>
      <c r="B1548" s="132" t="s">
        <v>322</v>
      </c>
      <c r="C1548" s="133">
        <v>1908293.0</v>
      </c>
      <c r="D1548" s="152" t="s">
        <v>543</v>
      </c>
      <c r="E1548" s="125" t="s">
        <v>296</v>
      </c>
      <c r="F1548" s="151" t="s">
        <v>1177</v>
      </c>
      <c r="G1548" s="148"/>
    </row>
    <row r="1549" ht="15.75" customHeight="1">
      <c r="A1549" s="148"/>
      <c r="B1549" s="132" t="s">
        <v>322</v>
      </c>
      <c r="C1549" s="133">
        <v>1908294.0</v>
      </c>
      <c r="D1549" s="152" t="s">
        <v>543</v>
      </c>
      <c r="E1549" s="125" t="s">
        <v>296</v>
      </c>
      <c r="F1549" s="151" t="s">
        <v>1177</v>
      </c>
      <c r="G1549" s="148"/>
    </row>
    <row r="1550" ht="15.75" customHeight="1">
      <c r="A1550" s="148"/>
      <c r="B1550" s="132" t="s">
        <v>322</v>
      </c>
      <c r="C1550" s="133">
        <v>1908295.0</v>
      </c>
      <c r="D1550" s="152" t="s">
        <v>543</v>
      </c>
      <c r="E1550" s="125" t="s">
        <v>296</v>
      </c>
      <c r="F1550" s="151" t="s">
        <v>1177</v>
      </c>
      <c r="G1550" s="148"/>
    </row>
    <row r="1551" ht="15.75" customHeight="1">
      <c r="A1551" s="148"/>
      <c r="B1551" s="132" t="s">
        <v>322</v>
      </c>
      <c r="C1551" s="133">
        <v>1908296.0</v>
      </c>
      <c r="D1551" s="152" t="s">
        <v>543</v>
      </c>
      <c r="E1551" s="125" t="s">
        <v>296</v>
      </c>
      <c r="F1551" s="151" t="s">
        <v>1177</v>
      </c>
      <c r="G1551" s="148"/>
    </row>
    <row r="1552" ht="15.75" customHeight="1">
      <c r="A1552" s="148"/>
      <c r="B1552" s="132" t="s">
        <v>322</v>
      </c>
      <c r="C1552" s="133">
        <v>1908297.0</v>
      </c>
      <c r="D1552" s="152" t="s">
        <v>543</v>
      </c>
      <c r="E1552" s="125" t="s">
        <v>296</v>
      </c>
      <c r="F1552" s="151" t="s">
        <v>1177</v>
      </c>
      <c r="G1552" s="148"/>
    </row>
    <row r="1553" ht="15.75" customHeight="1">
      <c r="A1553" s="148"/>
      <c r="B1553" s="132" t="s">
        <v>322</v>
      </c>
      <c r="C1553" s="133">
        <v>1908298.0</v>
      </c>
      <c r="D1553" s="152" t="s">
        <v>543</v>
      </c>
      <c r="E1553" s="125" t="s">
        <v>296</v>
      </c>
      <c r="F1553" s="151" t="s">
        <v>1177</v>
      </c>
      <c r="G1553" s="148"/>
    </row>
    <row r="1554" ht="15.75" customHeight="1">
      <c r="A1554" s="148"/>
      <c r="B1554" s="132" t="s">
        <v>322</v>
      </c>
      <c r="C1554" s="133">
        <v>1908299.0</v>
      </c>
      <c r="D1554" s="152" t="s">
        <v>543</v>
      </c>
      <c r="E1554" s="125" t="s">
        <v>296</v>
      </c>
      <c r="F1554" s="151" t="s">
        <v>1177</v>
      </c>
      <c r="G1554" s="148"/>
    </row>
    <row r="1555" ht="15.75" customHeight="1">
      <c r="A1555" s="148"/>
      <c r="B1555" s="132" t="s">
        <v>322</v>
      </c>
      <c r="C1555" s="133">
        <v>1908300.0</v>
      </c>
      <c r="D1555" s="152" t="s">
        <v>543</v>
      </c>
      <c r="E1555" s="125" t="s">
        <v>296</v>
      </c>
      <c r="F1555" s="151" t="s">
        <v>1177</v>
      </c>
      <c r="G1555" s="148"/>
    </row>
    <row r="1556" ht="15.75" customHeight="1">
      <c r="A1556" s="148"/>
      <c r="B1556" s="132" t="s">
        <v>322</v>
      </c>
      <c r="C1556" s="133">
        <v>1908301.0</v>
      </c>
      <c r="D1556" s="152" t="s">
        <v>543</v>
      </c>
      <c r="E1556" s="125" t="s">
        <v>296</v>
      </c>
      <c r="F1556" s="151" t="s">
        <v>1177</v>
      </c>
      <c r="G1556" s="148"/>
    </row>
    <row r="1557" ht="15.75" customHeight="1">
      <c r="A1557" s="148"/>
      <c r="B1557" s="132" t="s">
        <v>322</v>
      </c>
      <c r="C1557" s="133">
        <v>1908302.0</v>
      </c>
      <c r="D1557" s="152" t="s">
        <v>543</v>
      </c>
      <c r="E1557" s="125" t="s">
        <v>296</v>
      </c>
      <c r="F1557" s="151" t="s">
        <v>1177</v>
      </c>
      <c r="G1557" s="148"/>
    </row>
    <row r="1558" ht="15.75" customHeight="1">
      <c r="A1558" s="148"/>
      <c r="B1558" s="132" t="s">
        <v>322</v>
      </c>
      <c r="C1558" s="133">
        <v>1908303.0</v>
      </c>
      <c r="D1558" s="152" t="s">
        <v>543</v>
      </c>
      <c r="E1558" s="125" t="s">
        <v>296</v>
      </c>
      <c r="F1558" s="151" t="s">
        <v>1177</v>
      </c>
      <c r="G1558" s="148"/>
    </row>
    <row r="1559" ht="15.75" customHeight="1">
      <c r="A1559" s="148"/>
      <c r="B1559" s="132" t="s">
        <v>322</v>
      </c>
      <c r="C1559" s="133">
        <v>1908304.0</v>
      </c>
      <c r="D1559" s="152" t="s">
        <v>543</v>
      </c>
      <c r="E1559" s="125" t="s">
        <v>296</v>
      </c>
      <c r="F1559" s="151" t="s">
        <v>1177</v>
      </c>
      <c r="G1559" s="148"/>
    </row>
    <row r="1560" ht="15.75" customHeight="1">
      <c r="A1560" s="148"/>
      <c r="B1560" s="132" t="s">
        <v>322</v>
      </c>
      <c r="C1560" s="133">
        <v>1908305.0</v>
      </c>
      <c r="D1560" s="152" t="s">
        <v>543</v>
      </c>
      <c r="E1560" s="125" t="s">
        <v>296</v>
      </c>
      <c r="F1560" s="151" t="s">
        <v>1177</v>
      </c>
      <c r="G1560" s="148"/>
    </row>
    <row r="1561" ht="15.75" customHeight="1">
      <c r="A1561" s="148"/>
      <c r="B1561" s="132" t="s">
        <v>322</v>
      </c>
      <c r="C1561" s="133">
        <v>1908306.0</v>
      </c>
      <c r="D1561" s="152" t="s">
        <v>543</v>
      </c>
      <c r="E1561" s="125" t="s">
        <v>296</v>
      </c>
      <c r="F1561" s="151" t="s">
        <v>1177</v>
      </c>
      <c r="G1561" s="148"/>
    </row>
    <row r="1562" ht="15.75" customHeight="1">
      <c r="A1562" s="148"/>
      <c r="B1562" s="132" t="s">
        <v>322</v>
      </c>
      <c r="C1562" s="133">
        <v>1908307.0</v>
      </c>
      <c r="D1562" s="152" t="s">
        <v>543</v>
      </c>
      <c r="E1562" s="125" t="s">
        <v>296</v>
      </c>
      <c r="F1562" s="151" t="s">
        <v>1177</v>
      </c>
      <c r="G1562" s="148"/>
    </row>
    <row r="1563" ht="15.75" customHeight="1">
      <c r="A1563" s="148"/>
      <c r="B1563" s="132" t="s">
        <v>322</v>
      </c>
      <c r="C1563" s="133">
        <v>1908308.0</v>
      </c>
      <c r="D1563" s="152" t="s">
        <v>543</v>
      </c>
      <c r="E1563" s="125" t="s">
        <v>296</v>
      </c>
      <c r="F1563" s="151" t="s">
        <v>1177</v>
      </c>
      <c r="G1563" s="148"/>
    </row>
    <row r="1564" ht="15.75" customHeight="1">
      <c r="A1564" s="148"/>
      <c r="B1564" s="132" t="s">
        <v>322</v>
      </c>
      <c r="C1564" s="133">
        <v>1908309.0</v>
      </c>
      <c r="D1564" s="152" t="s">
        <v>543</v>
      </c>
      <c r="E1564" s="125" t="s">
        <v>296</v>
      </c>
      <c r="F1564" s="151" t="s">
        <v>1177</v>
      </c>
      <c r="G1564" s="148"/>
    </row>
    <row r="1565" ht="15.75" customHeight="1">
      <c r="A1565" s="148"/>
      <c r="B1565" s="132" t="s">
        <v>322</v>
      </c>
      <c r="C1565" s="133">
        <v>1908310.0</v>
      </c>
      <c r="D1565" s="152" t="s">
        <v>543</v>
      </c>
      <c r="E1565" s="125" t="s">
        <v>296</v>
      </c>
      <c r="F1565" s="151" t="s">
        <v>1177</v>
      </c>
      <c r="G1565" s="148"/>
    </row>
    <row r="1566" ht="15.75" customHeight="1">
      <c r="A1566" s="148"/>
      <c r="B1566" s="132" t="s">
        <v>322</v>
      </c>
      <c r="C1566" s="133">
        <v>1908311.0</v>
      </c>
      <c r="D1566" s="152" t="s">
        <v>543</v>
      </c>
      <c r="E1566" s="125" t="s">
        <v>296</v>
      </c>
      <c r="F1566" s="151" t="s">
        <v>1177</v>
      </c>
      <c r="G1566" s="148"/>
    </row>
    <row r="1567" ht="15.75" customHeight="1">
      <c r="A1567" s="148"/>
      <c r="B1567" s="132" t="s">
        <v>322</v>
      </c>
      <c r="C1567" s="133">
        <v>1908312.0</v>
      </c>
      <c r="D1567" s="152" t="s">
        <v>543</v>
      </c>
      <c r="E1567" s="125" t="s">
        <v>296</v>
      </c>
      <c r="F1567" s="151" t="s">
        <v>1177</v>
      </c>
      <c r="G1567" s="148"/>
    </row>
    <row r="1568" ht="15.75" customHeight="1">
      <c r="A1568" s="148"/>
      <c r="B1568" s="132" t="s">
        <v>322</v>
      </c>
      <c r="C1568" s="133">
        <v>1908313.0</v>
      </c>
      <c r="D1568" s="152" t="s">
        <v>543</v>
      </c>
      <c r="E1568" s="125" t="s">
        <v>296</v>
      </c>
      <c r="F1568" s="151" t="s">
        <v>1177</v>
      </c>
      <c r="G1568" s="148"/>
    </row>
    <row r="1569" ht="15.75" customHeight="1">
      <c r="A1569" s="148"/>
      <c r="B1569" s="132" t="s">
        <v>322</v>
      </c>
      <c r="C1569" s="133">
        <v>1908314.0</v>
      </c>
      <c r="D1569" s="152" t="s">
        <v>543</v>
      </c>
      <c r="E1569" s="125" t="s">
        <v>296</v>
      </c>
      <c r="F1569" s="151" t="s">
        <v>1177</v>
      </c>
      <c r="G1569" s="148"/>
    </row>
    <row r="1570" ht="15.75" customHeight="1">
      <c r="A1570" s="148"/>
      <c r="B1570" s="132" t="s">
        <v>322</v>
      </c>
      <c r="C1570" s="133">
        <v>1908315.0</v>
      </c>
      <c r="D1570" s="152" t="s">
        <v>543</v>
      </c>
      <c r="E1570" s="125" t="s">
        <v>296</v>
      </c>
      <c r="F1570" s="151" t="s">
        <v>1177</v>
      </c>
      <c r="G1570" s="148"/>
    </row>
    <row r="1571" ht="15.75" customHeight="1">
      <c r="A1571" s="148"/>
      <c r="B1571" s="132" t="s">
        <v>322</v>
      </c>
      <c r="C1571" s="133">
        <v>1908316.0</v>
      </c>
      <c r="D1571" s="152" t="s">
        <v>543</v>
      </c>
      <c r="E1571" s="125" t="s">
        <v>296</v>
      </c>
      <c r="F1571" s="151" t="s">
        <v>1177</v>
      </c>
      <c r="G1571" s="148"/>
    </row>
    <row r="1572" ht="15.75" customHeight="1">
      <c r="A1572" s="148"/>
      <c r="B1572" s="132" t="s">
        <v>322</v>
      </c>
      <c r="C1572" s="133">
        <v>1908317.0</v>
      </c>
      <c r="D1572" s="152" t="s">
        <v>543</v>
      </c>
      <c r="E1572" s="125" t="s">
        <v>296</v>
      </c>
      <c r="F1572" s="151" t="s">
        <v>1177</v>
      </c>
      <c r="G1572" s="148"/>
    </row>
    <row r="1573" ht="15.75" customHeight="1">
      <c r="A1573" s="148"/>
      <c r="B1573" s="132" t="s">
        <v>322</v>
      </c>
      <c r="C1573" s="133">
        <v>1908318.0</v>
      </c>
      <c r="D1573" s="152" t="s">
        <v>543</v>
      </c>
      <c r="E1573" s="125" t="s">
        <v>296</v>
      </c>
      <c r="F1573" s="151" t="s">
        <v>1177</v>
      </c>
      <c r="G1573" s="148"/>
    </row>
    <row r="1574" ht="15.75" customHeight="1">
      <c r="A1574" s="148"/>
      <c r="B1574" s="132" t="s">
        <v>322</v>
      </c>
      <c r="C1574" s="133">
        <v>1908319.0</v>
      </c>
      <c r="D1574" s="152" t="s">
        <v>543</v>
      </c>
      <c r="E1574" s="125" t="s">
        <v>296</v>
      </c>
      <c r="F1574" s="151" t="s">
        <v>1177</v>
      </c>
      <c r="G1574" s="148"/>
    </row>
    <row r="1575" ht="15.75" customHeight="1">
      <c r="A1575" s="148"/>
      <c r="B1575" s="132" t="s">
        <v>322</v>
      </c>
      <c r="C1575" s="133">
        <v>1908320.0</v>
      </c>
      <c r="D1575" s="152" t="s">
        <v>543</v>
      </c>
      <c r="E1575" s="125" t="s">
        <v>296</v>
      </c>
      <c r="F1575" s="151" t="s">
        <v>1177</v>
      </c>
      <c r="G1575" s="148"/>
    </row>
    <row r="1576" ht="15.75" customHeight="1">
      <c r="A1576" s="148"/>
      <c r="B1576" s="132" t="s">
        <v>322</v>
      </c>
      <c r="C1576" s="133">
        <v>1908321.0</v>
      </c>
      <c r="D1576" s="152" t="s">
        <v>543</v>
      </c>
      <c r="E1576" s="125" t="s">
        <v>296</v>
      </c>
      <c r="F1576" s="151" t="s">
        <v>1177</v>
      </c>
      <c r="G1576" s="148"/>
    </row>
    <row r="1577" ht="15.75" customHeight="1">
      <c r="A1577" s="148"/>
      <c r="B1577" s="132" t="s">
        <v>322</v>
      </c>
      <c r="C1577" s="133">
        <v>1908322.0</v>
      </c>
      <c r="D1577" s="152" t="s">
        <v>543</v>
      </c>
      <c r="E1577" s="125" t="s">
        <v>296</v>
      </c>
      <c r="F1577" s="151" t="s">
        <v>1177</v>
      </c>
      <c r="G1577" s="148"/>
    </row>
    <row r="1578" ht="15.75" customHeight="1">
      <c r="A1578" s="148"/>
      <c r="B1578" s="132" t="s">
        <v>322</v>
      </c>
      <c r="C1578" s="133">
        <v>1908323.0</v>
      </c>
      <c r="D1578" s="152" t="s">
        <v>543</v>
      </c>
      <c r="E1578" s="125" t="s">
        <v>296</v>
      </c>
      <c r="F1578" s="151" t="s">
        <v>1177</v>
      </c>
      <c r="G1578" s="148"/>
    </row>
    <row r="1579" ht="15.75" customHeight="1">
      <c r="A1579" s="148"/>
      <c r="B1579" s="132" t="s">
        <v>322</v>
      </c>
      <c r="C1579" s="133">
        <v>1908324.0</v>
      </c>
      <c r="D1579" s="152" t="s">
        <v>543</v>
      </c>
      <c r="E1579" s="125" t="s">
        <v>296</v>
      </c>
      <c r="F1579" s="151" t="s">
        <v>1177</v>
      </c>
      <c r="G1579" s="148"/>
    </row>
    <row r="1580" ht="15.75" customHeight="1">
      <c r="A1580" s="148"/>
      <c r="B1580" s="132" t="s">
        <v>322</v>
      </c>
      <c r="C1580" s="133">
        <v>1908325.0</v>
      </c>
      <c r="D1580" s="152" t="s">
        <v>543</v>
      </c>
      <c r="E1580" s="125" t="s">
        <v>296</v>
      </c>
      <c r="F1580" s="151" t="s">
        <v>1177</v>
      </c>
      <c r="G1580" s="148"/>
    </row>
    <row r="1581" ht="15.75" customHeight="1">
      <c r="A1581" s="148"/>
      <c r="B1581" s="132" t="s">
        <v>322</v>
      </c>
      <c r="C1581" s="133">
        <v>1908326.0</v>
      </c>
      <c r="D1581" s="152" t="s">
        <v>543</v>
      </c>
      <c r="E1581" s="125" t="s">
        <v>296</v>
      </c>
      <c r="F1581" s="151" t="s">
        <v>1177</v>
      </c>
      <c r="G1581" s="148"/>
    </row>
    <row r="1582" ht="15.75" customHeight="1">
      <c r="A1582" s="148"/>
      <c r="B1582" s="132" t="s">
        <v>322</v>
      </c>
      <c r="C1582" s="133">
        <v>1908327.0</v>
      </c>
      <c r="D1582" s="152" t="s">
        <v>543</v>
      </c>
      <c r="E1582" s="125" t="s">
        <v>296</v>
      </c>
      <c r="F1582" s="151" t="s">
        <v>1177</v>
      </c>
      <c r="G1582" s="148"/>
    </row>
    <row r="1583" ht="15.75" customHeight="1">
      <c r="A1583" s="148"/>
      <c r="B1583" s="132" t="s">
        <v>322</v>
      </c>
      <c r="C1583" s="133">
        <v>1908328.0</v>
      </c>
      <c r="D1583" s="152" t="s">
        <v>543</v>
      </c>
      <c r="E1583" s="125" t="s">
        <v>296</v>
      </c>
      <c r="F1583" s="151" t="s">
        <v>1177</v>
      </c>
      <c r="G1583" s="148"/>
    </row>
    <row r="1584" ht="15.75" customHeight="1">
      <c r="A1584" s="148"/>
      <c r="B1584" s="132" t="s">
        <v>322</v>
      </c>
      <c r="C1584" s="133">
        <v>1908329.0</v>
      </c>
      <c r="D1584" s="152" t="s">
        <v>543</v>
      </c>
      <c r="E1584" s="125" t="s">
        <v>296</v>
      </c>
      <c r="F1584" s="151" t="s">
        <v>1177</v>
      </c>
      <c r="G1584" s="148"/>
    </row>
    <row r="1585" ht="15.75" customHeight="1">
      <c r="A1585" s="148"/>
      <c r="B1585" s="132" t="s">
        <v>322</v>
      </c>
      <c r="C1585" s="133">
        <v>1908330.0</v>
      </c>
      <c r="D1585" s="152" t="s">
        <v>543</v>
      </c>
      <c r="E1585" s="125" t="s">
        <v>296</v>
      </c>
      <c r="F1585" s="151" t="s">
        <v>1177</v>
      </c>
      <c r="G1585" s="148"/>
    </row>
    <row r="1586" ht="15.75" customHeight="1">
      <c r="A1586" s="148"/>
      <c r="B1586" s="132" t="s">
        <v>322</v>
      </c>
      <c r="C1586" s="133">
        <v>1908331.0</v>
      </c>
      <c r="D1586" s="152" t="s">
        <v>543</v>
      </c>
      <c r="E1586" s="125" t="s">
        <v>296</v>
      </c>
      <c r="F1586" s="151" t="s">
        <v>1177</v>
      </c>
      <c r="G1586" s="148"/>
    </row>
    <row r="1587" ht="15.75" customHeight="1">
      <c r="A1587" s="148"/>
      <c r="B1587" s="132" t="s">
        <v>322</v>
      </c>
      <c r="C1587" s="133">
        <v>1908332.0</v>
      </c>
      <c r="D1587" s="152" t="s">
        <v>543</v>
      </c>
      <c r="E1587" s="125" t="s">
        <v>296</v>
      </c>
      <c r="F1587" s="151" t="s">
        <v>1177</v>
      </c>
      <c r="G1587" s="148"/>
    </row>
    <row r="1588" ht="15.75" customHeight="1">
      <c r="A1588" s="148"/>
      <c r="B1588" s="132" t="s">
        <v>322</v>
      </c>
      <c r="C1588" s="133">
        <v>1908333.0</v>
      </c>
      <c r="D1588" s="152" t="s">
        <v>543</v>
      </c>
      <c r="E1588" s="125" t="s">
        <v>296</v>
      </c>
      <c r="F1588" s="151" t="s">
        <v>1177</v>
      </c>
      <c r="G1588" s="148"/>
    </row>
    <row r="1589" ht="15.75" customHeight="1">
      <c r="A1589" s="148"/>
      <c r="B1589" s="132" t="s">
        <v>322</v>
      </c>
      <c r="C1589" s="133">
        <v>1908334.0</v>
      </c>
      <c r="D1589" s="152" t="s">
        <v>543</v>
      </c>
      <c r="E1589" s="125" t="s">
        <v>296</v>
      </c>
      <c r="F1589" s="151" t="s">
        <v>1177</v>
      </c>
      <c r="G1589" s="148"/>
    </row>
    <row r="1590" ht="15.75" customHeight="1">
      <c r="A1590" s="148"/>
      <c r="B1590" s="132" t="s">
        <v>322</v>
      </c>
      <c r="C1590" s="133">
        <v>1908335.0</v>
      </c>
      <c r="D1590" s="152" t="s">
        <v>543</v>
      </c>
      <c r="E1590" s="125" t="s">
        <v>296</v>
      </c>
      <c r="F1590" s="151" t="s">
        <v>1177</v>
      </c>
      <c r="G1590" s="148"/>
    </row>
    <row r="1591" ht="15.75" customHeight="1">
      <c r="A1591" s="148"/>
      <c r="B1591" s="132" t="s">
        <v>322</v>
      </c>
      <c r="C1591" s="133">
        <v>1908336.0</v>
      </c>
      <c r="D1591" s="152" t="s">
        <v>543</v>
      </c>
      <c r="E1591" s="125" t="s">
        <v>296</v>
      </c>
      <c r="F1591" s="151" t="s">
        <v>1177</v>
      </c>
      <c r="G1591" s="148"/>
    </row>
    <row r="1592" ht="15.75" customHeight="1">
      <c r="A1592" s="148"/>
      <c r="B1592" s="132" t="s">
        <v>322</v>
      </c>
      <c r="C1592" s="133">
        <v>1908337.0</v>
      </c>
      <c r="D1592" s="152" t="s">
        <v>543</v>
      </c>
      <c r="E1592" s="125" t="s">
        <v>296</v>
      </c>
      <c r="F1592" s="151" t="s">
        <v>1177</v>
      </c>
      <c r="G1592" s="148"/>
    </row>
    <row r="1593" ht="15.75" customHeight="1">
      <c r="A1593" s="148"/>
      <c r="B1593" s="132" t="s">
        <v>322</v>
      </c>
      <c r="C1593" s="133">
        <v>1908338.0</v>
      </c>
      <c r="D1593" s="152" t="s">
        <v>543</v>
      </c>
      <c r="E1593" s="125" t="s">
        <v>296</v>
      </c>
      <c r="F1593" s="151" t="s">
        <v>1177</v>
      </c>
      <c r="G1593" s="148"/>
    </row>
    <row r="1594" ht="15.75" customHeight="1">
      <c r="A1594" s="148"/>
      <c r="B1594" s="132" t="s">
        <v>322</v>
      </c>
      <c r="C1594" s="133">
        <v>1908339.0</v>
      </c>
      <c r="D1594" s="152" t="s">
        <v>543</v>
      </c>
      <c r="E1594" s="125" t="s">
        <v>296</v>
      </c>
      <c r="F1594" s="151" t="s">
        <v>1177</v>
      </c>
      <c r="G1594" s="148"/>
    </row>
    <row r="1595" ht="15.75" customHeight="1">
      <c r="A1595" s="148"/>
      <c r="B1595" s="132" t="s">
        <v>322</v>
      </c>
      <c r="C1595" s="133">
        <v>1908340.0</v>
      </c>
      <c r="D1595" s="152" t="s">
        <v>543</v>
      </c>
      <c r="E1595" s="125" t="s">
        <v>296</v>
      </c>
      <c r="F1595" s="151" t="s">
        <v>1177</v>
      </c>
      <c r="G1595" s="148"/>
    </row>
    <row r="1596" ht="15.75" customHeight="1">
      <c r="A1596" s="148"/>
      <c r="B1596" s="132" t="s">
        <v>322</v>
      </c>
      <c r="C1596" s="133">
        <v>1908341.0</v>
      </c>
      <c r="D1596" s="152" t="s">
        <v>543</v>
      </c>
      <c r="E1596" s="125" t="s">
        <v>296</v>
      </c>
      <c r="F1596" s="151" t="s">
        <v>1177</v>
      </c>
      <c r="G1596" s="148"/>
    </row>
    <row r="1597" ht="15.75" customHeight="1">
      <c r="A1597" s="148"/>
      <c r="B1597" s="132" t="s">
        <v>322</v>
      </c>
      <c r="C1597" s="133">
        <v>1908342.0</v>
      </c>
      <c r="D1597" s="152" t="s">
        <v>543</v>
      </c>
      <c r="E1597" s="125" t="s">
        <v>296</v>
      </c>
      <c r="F1597" s="151" t="s">
        <v>1177</v>
      </c>
      <c r="G1597" s="148"/>
    </row>
    <row r="1598" ht="15.75" customHeight="1">
      <c r="A1598" s="148"/>
      <c r="B1598" s="132" t="s">
        <v>322</v>
      </c>
      <c r="C1598" s="133">
        <v>1908343.0</v>
      </c>
      <c r="D1598" s="152" t="s">
        <v>543</v>
      </c>
      <c r="E1598" s="125" t="s">
        <v>296</v>
      </c>
      <c r="F1598" s="151" t="s">
        <v>1177</v>
      </c>
      <c r="G1598" s="148"/>
    </row>
    <row r="1599" ht="15.75" customHeight="1">
      <c r="A1599" s="148"/>
      <c r="B1599" s="132" t="s">
        <v>322</v>
      </c>
      <c r="C1599" s="133">
        <v>1908344.0</v>
      </c>
      <c r="D1599" s="152" t="s">
        <v>543</v>
      </c>
      <c r="E1599" s="125" t="s">
        <v>296</v>
      </c>
      <c r="F1599" s="151" t="s">
        <v>1177</v>
      </c>
      <c r="G1599" s="148"/>
    </row>
    <row r="1600" ht="15.75" customHeight="1">
      <c r="A1600" s="148"/>
      <c r="B1600" s="132" t="s">
        <v>322</v>
      </c>
      <c r="C1600" s="133">
        <v>1908345.0</v>
      </c>
      <c r="D1600" s="152" t="s">
        <v>543</v>
      </c>
      <c r="E1600" s="125" t="s">
        <v>296</v>
      </c>
      <c r="F1600" s="151" t="s">
        <v>1177</v>
      </c>
      <c r="G1600" s="148"/>
    </row>
    <row r="1601" ht="15.75" customHeight="1">
      <c r="A1601" s="148"/>
      <c r="B1601" s="132" t="s">
        <v>322</v>
      </c>
      <c r="C1601" s="133">
        <v>1908346.0</v>
      </c>
      <c r="D1601" s="152" t="s">
        <v>543</v>
      </c>
      <c r="E1601" s="125" t="s">
        <v>296</v>
      </c>
      <c r="F1601" s="151" t="s">
        <v>1177</v>
      </c>
      <c r="G1601" s="148"/>
    </row>
    <row r="1602" ht="15.75" customHeight="1">
      <c r="A1602" s="148"/>
      <c r="B1602" s="132" t="s">
        <v>322</v>
      </c>
      <c r="C1602" s="133">
        <v>1908347.0</v>
      </c>
      <c r="D1602" s="152" t="s">
        <v>543</v>
      </c>
      <c r="E1602" s="125" t="s">
        <v>296</v>
      </c>
      <c r="F1602" s="151" t="s">
        <v>1177</v>
      </c>
      <c r="G1602" s="148"/>
    </row>
    <row r="1603" ht="15.75" customHeight="1">
      <c r="A1603" s="148"/>
      <c r="B1603" s="132" t="s">
        <v>322</v>
      </c>
      <c r="C1603" s="133">
        <v>1908348.0</v>
      </c>
      <c r="D1603" s="152" t="s">
        <v>543</v>
      </c>
      <c r="E1603" s="125" t="s">
        <v>296</v>
      </c>
      <c r="F1603" s="151" t="s">
        <v>1177</v>
      </c>
      <c r="G1603" s="148"/>
    </row>
    <row r="1604" ht="15.75" customHeight="1">
      <c r="A1604" s="148"/>
      <c r="B1604" s="132" t="s">
        <v>322</v>
      </c>
      <c r="C1604" s="133">
        <v>1908349.0</v>
      </c>
      <c r="D1604" s="152" t="s">
        <v>543</v>
      </c>
      <c r="E1604" s="125" t="s">
        <v>296</v>
      </c>
      <c r="F1604" s="151" t="s">
        <v>1177</v>
      </c>
      <c r="G1604" s="148"/>
    </row>
    <row r="1605" ht="15.75" customHeight="1">
      <c r="A1605" s="148"/>
      <c r="B1605" s="132" t="s">
        <v>322</v>
      </c>
      <c r="C1605" s="133">
        <v>1908350.0</v>
      </c>
      <c r="D1605" s="152" t="s">
        <v>543</v>
      </c>
      <c r="E1605" s="125" t="s">
        <v>296</v>
      </c>
      <c r="F1605" s="151" t="s">
        <v>1177</v>
      </c>
      <c r="G1605" s="148"/>
    </row>
    <row r="1606" ht="15.75" customHeight="1">
      <c r="A1606" s="148"/>
      <c r="B1606" s="132" t="s">
        <v>322</v>
      </c>
      <c r="C1606" s="133">
        <v>1908351.0</v>
      </c>
      <c r="D1606" s="152" t="s">
        <v>543</v>
      </c>
      <c r="E1606" s="125" t="s">
        <v>296</v>
      </c>
      <c r="F1606" s="151" t="s">
        <v>1177</v>
      </c>
      <c r="G1606" s="148"/>
    </row>
    <row r="1607" ht="15.75" customHeight="1">
      <c r="A1607" s="148"/>
      <c r="B1607" s="132" t="s">
        <v>322</v>
      </c>
      <c r="C1607" s="133">
        <v>1908352.0</v>
      </c>
      <c r="D1607" s="152" t="s">
        <v>543</v>
      </c>
      <c r="E1607" s="125" t="s">
        <v>296</v>
      </c>
      <c r="F1607" s="151" t="s">
        <v>1177</v>
      </c>
      <c r="G1607" s="148"/>
    </row>
    <row r="1608" ht="15.75" customHeight="1">
      <c r="A1608" s="148"/>
      <c r="B1608" s="132" t="s">
        <v>322</v>
      </c>
      <c r="C1608" s="133">
        <v>1908353.0</v>
      </c>
      <c r="D1608" s="152" t="s">
        <v>543</v>
      </c>
      <c r="E1608" s="125" t="s">
        <v>296</v>
      </c>
      <c r="F1608" s="151" t="s">
        <v>1177</v>
      </c>
      <c r="G1608" s="148"/>
    </row>
    <row r="1609" ht="15.75" customHeight="1">
      <c r="A1609" s="148"/>
      <c r="B1609" s="132" t="s">
        <v>322</v>
      </c>
      <c r="C1609" s="133">
        <v>1908354.0</v>
      </c>
      <c r="D1609" s="152" t="s">
        <v>543</v>
      </c>
      <c r="E1609" s="125" t="s">
        <v>296</v>
      </c>
      <c r="F1609" s="151" t="s">
        <v>1177</v>
      </c>
      <c r="G1609" s="148"/>
    </row>
    <row r="1610" ht="15.75" customHeight="1">
      <c r="A1610" s="148"/>
      <c r="B1610" s="132" t="s">
        <v>322</v>
      </c>
      <c r="C1610" s="133">
        <v>1908355.0</v>
      </c>
      <c r="D1610" s="152" t="s">
        <v>543</v>
      </c>
      <c r="E1610" s="125" t="s">
        <v>296</v>
      </c>
      <c r="F1610" s="151" t="s">
        <v>1177</v>
      </c>
      <c r="G1610" s="148"/>
    </row>
    <row r="1611" ht="15.75" customHeight="1">
      <c r="A1611" s="148"/>
      <c r="B1611" s="132" t="s">
        <v>322</v>
      </c>
      <c r="C1611" s="133">
        <v>1908356.0</v>
      </c>
      <c r="D1611" s="152" t="s">
        <v>543</v>
      </c>
      <c r="E1611" s="125" t="s">
        <v>296</v>
      </c>
      <c r="F1611" s="151" t="s">
        <v>1177</v>
      </c>
      <c r="G1611" s="148"/>
    </row>
    <row r="1612" ht="15.75" customHeight="1">
      <c r="A1612" s="148"/>
      <c r="B1612" s="132" t="s">
        <v>322</v>
      </c>
      <c r="C1612" s="133">
        <v>1908357.0</v>
      </c>
      <c r="D1612" s="152" t="s">
        <v>543</v>
      </c>
      <c r="E1612" s="125" t="s">
        <v>296</v>
      </c>
      <c r="F1612" s="151" t="s">
        <v>1177</v>
      </c>
      <c r="G1612" s="148"/>
    </row>
    <row r="1613" ht="15.75" customHeight="1">
      <c r="A1613" s="148"/>
      <c r="B1613" s="132" t="s">
        <v>322</v>
      </c>
      <c r="C1613" s="133">
        <v>1908358.0</v>
      </c>
      <c r="D1613" s="152" t="s">
        <v>543</v>
      </c>
      <c r="E1613" s="125" t="s">
        <v>296</v>
      </c>
      <c r="F1613" s="151" t="s">
        <v>1177</v>
      </c>
      <c r="G1613" s="148"/>
    </row>
    <row r="1614" ht="15.75" customHeight="1">
      <c r="A1614" s="148"/>
      <c r="B1614" s="132" t="s">
        <v>322</v>
      </c>
      <c r="C1614" s="133">
        <v>1908359.0</v>
      </c>
      <c r="D1614" s="152" t="s">
        <v>543</v>
      </c>
      <c r="E1614" s="125" t="s">
        <v>296</v>
      </c>
      <c r="F1614" s="151" t="s">
        <v>1177</v>
      </c>
      <c r="G1614" s="148"/>
    </row>
    <row r="1615" ht="15.75" customHeight="1">
      <c r="A1615" s="148"/>
      <c r="B1615" s="132" t="s">
        <v>322</v>
      </c>
      <c r="C1615" s="133">
        <v>1908360.0</v>
      </c>
      <c r="D1615" s="152" t="s">
        <v>543</v>
      </c>
      <c r="E1615" s="125" t="s">
        <v>296</v>
      </c>
      <c r="F1615" s="151" t="s">
        <v>1177</v>
      </c>
      <c r="G1615" s="148"/>
    </row>
    <row r="1616" ht="15.75" customHeight="1">
      <c r="A1616" s="148"/>
      <c r="B1616" s="132" t="s">
        <v>322</v>
      </c>
      <c r="C1616" s="133">
        <v>1908361.0</v>
      </c>
      <c r="D1616" s="152" t="s">
        <v>543</v>
      </c>
      <c r="E1616" s="125" t="s">
        <v>296</v>
      </c>
      <c r="F1616" s="151" t="s">
        <v>1177</v>
      </c>
      <c r="G1616" s="148"/>
    </row>
    <row r="1617" ht="15.75" customHeight="1">
      <c r="A1617" s="148"/>
      <c r="B1617" s="132" t="s">
        <v>322</v>
      </c>
      <c r="C1617" s="133">
        <v>1908362.0</v>
      </c>
      <c r="D1617" s="152" t="s">
        <v>543</v>
      </c>
      <c r="E1617" s="125" t="s">
        <v>296</v>
      </c>
      <c r="F1617" s="151" t="s">
        <v>1177</v>
      </c>
      <c r="G1617" s="148"/>
    </row>
    <row r="1618" ht="15.75" customHeight="1">
      <c r="A1618" s="148"/>
      <c r="B1618" s="132" t="s">
        <v>322</v>
      </c>
      <c r="C1618" s="133">
        <v>1908363.0</v>
      </c>
      <c r="D1618" s="152" t="s">
        <v>543</v>
      </c>
      <c r="E1618" s="125" t="s">
        <v>296</v>
      </c>
      <c r="F1618" s="151" t="s">
        <v>1177</v>
      </c>
      <c r="G1618" s="148"/>
    </row>
    <row r="1619" ht="15.75" customHeight="1">
      <c r="A1619" s="148"/>
      <c r="B1619" s="132" t="s">
        <v>322</v>
      </c>
      <c r="C1619" s="133">
        <v>1908364.0</v>
      </c>
      <c r="D1619" s="152" t="s">
        <v>543</v>
      </c>
      <c r="E1619" s="125" t="s">
        <v>296</v>
      </c>
      <c r="F1619" s="151" t="s">
        <v>1177</v>
      </c>
      <c r="G1619" s="148"/>
    </row>
    <row r="1620" ht="15.75" customHeight="1">
      <c r="A1620" s="148"/>
      <c r="B1620" s="132" t="s">
        <v>322</v>
      </c>
      <c r="C1620" s="133">
        <v>1908365.0</v>
      </c>
      <c r="D1620" s="152" t="s">
        <v>543</v>
      </c>
      <c r="E1620" s="125" t="s">
        <v>296</v>
      </c>
      <c r="F1620" s="151" t="s">
        <v>1177</v>
      </c>
      <c r="G1620" s="148"/>
    </row>
    <row r="1621" ht="15.75" customHeight="1">
      <c r="A1621" s="148"/>
      <c r="B1621" s="132" t="s">
        <v>322</v>
      </c>
      <c r="C1621" s="133">
        <v>1908366.0</v>
      </c>
      <c r="D1621" s="152" t="s">
        <v>543</v>
      </c>
      <c r="E1621" s="125" t="s">
        <v>296</v>
      </c>
      <c r="F1621" s="151" t="s">
        <v>1177</v>
      </c>
      <c r="G1621" s="148"/>
    </row>
    <row r="1622" ht="15.75" customHeight="1">
      <c r="A1622" s="148"/>
      <c r="B1622" s="132" t="s">
        <v>322</v>
      </c>
      <c r="C1622" s="133">
        <v>1908367.0</v>
      </c>
      <c r="D1622" s="152" t="s">
        <v>543</v>
      </c>
      <c r="E1622" s="125" t="s">
        <v>296</v>
      </c>
      <c r="F1622" s="151" t="s">
        <v>1177</v>
      </c>
      <c r="G1622" s="148"/>
    </row>
    <row r="1623" ht="15.75" customHeight="1">
      <c r="A1623" s="148"/>
      <c r="B1623" s="132" t="s">
        <v>322</v>
      </c>
      <c r="C1623" s="133">
        <v>1908368.0</v>
      </c>
      <c r="D1623" s="152" t="s">
        <v>543</v>
      </c>
      <c r="E1623" s="125" t="s">
        <v>296</v>
      </c>
      <c r="F1623" s="151" t="s">
        <v>1177</v>
      </c>
      <c r="G1623" s="148"/>
    </row>
    <row r="1624" ht="15.75" customHeight="1">
      <c r="A1624" s="148"/>
      <c r="B1624" s="132" t="s">
        <v>322</v>
      </c>
      <c r="C1624" s="133">
        <v>1908369.0</v>
      </c>
      <c r="D1624" s="152" t="s">
        <v>543</v>
      </c>
      <c r="E1624" s="125" t="s">
        <v>296</v>
      </c>
      <c r="F1624" s="151" t="s">
        <v>1177</v>
      </c>
      <c r="G1624" s="148"/>
    </row>
    <row r="1625" ht="15.75" customHeight="1">
      <c r="A1625" s="148"/>
      <c r="B1625" s="132" t="s">
        <v>322</v>
      </c>
      <c r="C1625" s="133">
        <v>1908370.0</v>
      </c>
      <c r="D1625" s="152" t="s">
        <v>543</v>
      </c>
      <c r="E1625" s="125" t="s">
        <v>296</v>
      </c>
      <c r="F1625" s="151" t="s">
        <v>1177</v>
      </c>
      <c r="G1625" s="148"/>
    </row>
    <row r="1626" ht="15.75" customHeight="1">
      <c r="A1626" s="148"/>
      <c r="B1626" s="132" t="s">
        <v>322</v>
      </c>
      <c r="C1626" s="133">
        <v>1908371.0</v>
      </c>
      <c r="D1626" s="152" t="s">
        <v>543</v>
      </c>
      <c r="E1626" s="125" t="s">
        <v>296</v>
      </c>
      <c r="F1626" s="151" t="s">
        <v>1177</v>
      </c>
      <c r="G1626" s="148"/>
    </row>
    <row r="1627" ht="15.75" customHeight="1">
      <c r="A1627" s="148"/>
      <c r="B1627" s="132" t="s">
        <v>322</v>
      </c>
      <c r="C1627" s="133">
        <v>1908372.0</v>
      </c>
      <c r="D1627" s="152" t="s">
        <v>543</v>
      </c>
      <c r="E1627" s="125" t="s">
        <v>296</v>
      </c>
      <c r="F1627" s="151" t="s">
        <v>1177</v>
      </c>
      <c r="G1627" s="148"/>
    </row>
    <row r="1628" ht="15.75" customHeight="1">
      <c r="A1628" s="148"/>
      <c r="B1628" s="132" t="s">
        <v>322</v>
      </c>
      <c r="C1628" s="133">
        <v>1908373.0</v>
      </c>
      <c r="D1628" s="152" t="s">
        <v>543</v>
      </c>
      <c r="E1628" s="125" t="s">
        <v>296</v>
      </c>
      <c r="F1628" s="151" t="s">
        <v>1177</v>
      </c>
      <c r="G1628" s="148"/>
    </row>
    <row r="1629" ht="15.75" customHeight="1">
      <c r="A1629" s="148"/>
      <c r="B1629" s="132" t="s">
        <v>322</v>
      </c>
      <c r="C1629" s="133">
        <v>1908374.0</v>
      </c>
      <c r="D1629" s="152" t="s">
        <v>543</v>
      </c>
      <c r="E1629" s="125" t="s">
        <v>296</v>
      </c>
      <c r="F1629" s="151" t="s">
        <v>1177</v>
      </c>
      <c r="G1629" s="148"/>
    </row>
    <row r="1630" ht="15.75" customHeight="1">
      <c r="A1630" s="148"/>
      <c r="B1630" s="132" t="s">
        <v>322</v>
      </c>
      <c r="C1630" s="133">
        <v>1908375.0</v>
      </c>
      <c r="D1630" s="152" t="s">
        <v>543</v>
      </c>
      <c r="E1630" s="125" t="s">
        <v>296</v>
      </c>
      <c r="F1630" s="151" t="s">
        <v>1177</v>
      </c>
      <c r="G1630" s="148"/>
    </row>
    <row r="1631" ht="15.75" customHeight="1">
      <c r="A1631" s="148"/>
      <c r="B1631" s="132" t="s">
        <v>322</v>
      </c>
      <c r="C1631" s="133">
        <v>1908376.0</v>
      </c>
      <c r="D1631" s="152" t="s">
        <v>543</v>
      </c>
      <c r="E1631" s="125" t="s">
        <v>296</v>
      </c>
      <c r="F1631" s="151" t="s">
        <v>1177</v>
      </c>
      <c r="G1631" s="148"/>
    </row>
    <row r="1632" ht="15.75" customHeight="1">
      <c r="A1632" s="148"/>
      <c r="B1632" s="132" t="s">
        <v>322</v>
      </c>
      <c r="C1632" s="133">
        <v>1908377.0</v>
      </c>
      <c r="D1632" s="152" t="s">
        <v>543</v>
      </c>
      <c r="E1632" s="125" t="s">
        <v>296</v>
      </c>
      <c r="F1632" s="151" t="s">
        <v>1177</v>
      </c>
      <c r="G1632" s="148"/>
    </row>
    <row r="1633" ht="15.75" customHeight="1">
      <c r="A1633" s="148"/>
      <c r="B1633" s="132" t="s">
        <v>322</v>
      </c>
      <c r="C1633" s="133">
        <v>1908378.0</v>
      </c>
      <c r="D1633" s="152" t="s">
        <v>543</v>
      </c>
      <c r="E1633" s="125" t="s">
        <v>296</v>
      </c>
      <c r="F1633" s="151" t="s">
        <v>1177</v>
      </c>
      <c r="G1633" s="148"/>
    </row>
    <row r="1634" ht="15.75" customHeight="1">
      <c r="A1634" s="148"/>
      <c r="B1634" s="132" t="s">
        <v>322</v>
      </c>
      <c r="C1634" s="133">
        <v>1908379.0</v>
      </c>
      <c r="D1634" s="152" t="s">
        <v>543</v>
      </c>
      <c r="E1634" s="125" t="s">
        <v>296</v>
      </c>
      <c r="F1634" s="151" t="s">
        <v>1177</v>
      </c>
      <c r="G1634" s="148"/>
    </row>
    <row r="1635" ht="15.75" customHeight="1">
      <c r="A1635" s="148"/>
      <c r="B1635" s="132" t="s">
        <v>322</v>
      </c>
      <c r="C1635" s="133">
        <v>1908380.0</v>
      </c>
      <c r="D1635" s="152" t="s">
        <v>543</v>
      </c>
      <c r="E1635" s="125" t="s">
        <v>296</v>
      </c>
      <c r="F1635" s="151" t="s">
        <v>1177</v>
      </c>
      <c r="G1635" s="148"/>
    </row>
    <row r="1636" ht="15.75" customHeight="1">
      <c r="A1636" s="148"/>
      <c r="B1636" s="132" t="s">
        <v>322</v>
      </c>
      <c r="C1636" s="133">
        <v>1908381.0</v>
      </c>
      <c r="D1636" s="152" t="s">
        <v>543</v>
      </c>
      <c r="E1636" s="125" t="s">
        <v>296</v>
      </c>
      <c r="F1636" s="151" t="s">
        <v>1177</v>
      </c>
      <c r="G1636" s="148"/>
    </row>
    <row r="1637" ht="15.75" customHeight="1">
      <c r="A1637" s="148"/>
      <c r="B1637" s="132" t="s">
        <v>322</v>
      </c>
      <c r="C1637" s="133">
        <v>1908382.0</v>
      </c>
      <c r="D1637" s="152" t="s">
        <v>543</v>
      </c>
      <c r="E1637" s="125" t="s">
        <v>296</v>
      </c>
      <c r="F1637" s="151" t="s">
        <v>1177</v>
      </c>
      <c r="G1637" s="148"/>
    </row>
    <row r="1638" ht="15.75" customHeight="1">
      <c r="A1638" s="148"/>
      <c r="B1638" s="132" t="s">
        <v>322</v>
      </c>
      <c r="C1638" s="133">
        <v>1908383.0</v>
      </c>
      <c r="D1638" s="152" t="s">
        <v>543</v>
      </c>
      <c r="E1638" s="125" t="s">
        <v>296</v>
      </c>
      <c r="F1638" s="151" t="s">
        <v>1177</v>
      </c>
      <c r="G1638" s="148"/>
    </row>
    <row r="1639" ht="15.75" customHeight="1">
      <c r="A1639" s="148"/>
      <c r="B1639" s="132" t="s">
        <v>322</v>
      </c>
      <c r="C1639" s="133">
        <v>1908384.0</v>
      </c>
      <c r="D1639" s="152" t="s">
        <v>543</v>
      </c>
      <c r="E1639" s="125" t="s">
        <v>296</v>
      </c>
      <c r="F1639" s="151" t="s">
        <v>1177</v>
      </c>
      <c r="G1639" s="148"/>
    </row>
    <row r="1640" ht="15.75" customHeight="1">
      <c r="A1640" s="148"/>
      <c r="B1640" s="132" t="s">
        <v>322</v>
      </c>
      <c r="C1640" s="133">
        <v>1908385.0</v>
      </c>
      <c r="D1640" s="152" t="s">
        <v>543</v>
      </c>
      <c r="E1640" s="125" t="s">
        <v>296</v>
      </c>
      <c r="F1640" s="151" t="s">
        <v>1177</v>
      </c>
      <c r="G1640" s="148"/>
    </row>
    <row r="1641" ht="15.75" customHeight="1">
      <c r="A1641" s="148"/>
      <c r="B1641" s="132" t="s">
        <v>322</v>
      </c>
      <c r="C1641" s="133">
        <v>1908386.0</v>
      </c>
      <c r="D1641" s="152" t="s">
        <v>543</v>
      </c>
      <c r="E1641" s="125" t="s">
        <v>296</v>
      </c>
      <c r="F1641" s="151" t="s">
        <v>1177</v>
      </c>
      <c r="G1641" s="148"/>
    </row>
    <row r="1642" ht="15.75" customHeight="1">
      <c r="A1642" s="148"/>
      <c r="B1642" s="132" t="s">
        <v>322</v>
      </c>
      <c r="C1642" s="133">
        <v>1908387.0</v>
      </c>
      <c r="D1642" s="152" t="s">
        <v>543</v>
      </c>
      <c r="E1642" s="125" t="s">
        <v>296</v>
      </c>
      <c r="F1642" s="151" t="s">
        <v>1177</v>
      </c>
      <c r="G1642" s="148"/>
    </row>
    <row r="1643" ht="15.75" customHeight="1">
      <c r="A1643" s="148"/>
      <c r="B1643" s="132" t="s">
        <v>322</v>
      </c>
      <c r="C1643" s="133">
        <v>1908388.0</v>
      </c>
      <c r="D1643" s="152" t="s">
        <v>543</v>
      </c>
      <c r="E1643" s="125" t="s">
        <v>296</v>
      </c>
      <c r="F1643" s="151" t="s">
        <v>1177</v>
      </c>
      <c r="G1643" s="148"/>
    </row>
    <row r="1644" ht="15.75" customHeight="1">
      <c r="A1644" s="148"/>
      <c r="B1644" s="132" t="s">
        <v>322</v>
      </c>
      <c r="C1644" s="133">
        <v>1908389.0</v>
      </c>
      <c r="D1644" s="152" t="s">
        <v>543</v>
      </c>
      <c r="E1644" s="125" t="s">
        <v>296</v>
      </c>
      <c r="F1644" s="151" t="s">
        <v>1177</v>
      </c>
      <c r="G1644" s="148"/>
    </row>
    <row r="1645" ht="15.75" customHeight="1">
      <c r="A1645" s="148"/>
      <c r="B1645" s="132" t="s">
        <v>322</v>
      </c>
      <c r="C1645" s="133">
        <v>1908390.0</v>
      </c>
      <c r="D1645" s="152" t="s">
        <v>543</v>
      </c>
      <c r="E1645" s="125" t="s">
        <v>296</v>
      </c>
      <c r="F1645" s="151" t="s">
        <v>1177</v>
      </c>
      <c r="G1645" s="148"/>
    </row>
    <row r="1646" ht="15.75" customHeight="1">
      <c r="A1646" s="148"/>
      <c r="B1646" s="132" t="s">
        <v>322</v>
      </c>
      <c r="C1646" s="133">
        <v>1908391.0</v>
      </c>
      <c r="D1646" s="152" t="s">
        <v>543</v>
      </c>
      <c r="E1646" s="125" t="s">
        <v>296</v>
      </c>
      <c r="F1646" s="151" t="s">
        <v>1177</v>
      </c>
      <c r="G1646" s="148"/>
    </row>
    <row r="1647" ht="15.75" customHeight="1">
      <c r="A1647" s="148"/>
      <c r="B1647" s="132" t="s">
        <v>322</v>
      </c>
      <c r="C1647" s="133">
        <v>1908392.0</v>
      </c>
      <c r="D1647" s="152" t="s">
        <v>543</v>
      </c>
      <c r="E1647" s="125" t="s">
        <v>296</v>
      </c>
      <c r="F1647" s="151" t="s">
        <v>1177</v>
      </c>
      <c r="G1647" s="148"/>
    </row>
    <row r="1648" ht="15.75" customHeight="1">
      <c r="A1648" s="148"/>
      <c r="B1648" s="132" t="s">
        <v>322</v>
      </c>
      <c r="C1648" s="133">
        <v>1908393.0</v>
      </c>
      <c r="D1648" s="152" t="s">
        <v>543</v>
      </c>
      <c r="E1648" s="125" t="s">
        <v>296</v>
      </c>
      <c r="F1648" s="151" t="s">
        <v>1177</v>
      </c>
      <c r="G1648" s="148"/>
    </row>
    <row r="1649" ht="15.75" customHeight="1">
      <c r="A1649" s="148"/>
      <c r="B1649" s="132" t="s">
        <v>322</v>
      </c>
      <c r="C1649" s="133">
        <v>1908394.0</v>
      </c>
      <c r="D1649" s="152" t="s">
        <v>543</v>
      </c>
      <c r="E1649" s="125" t="s">
        <v>296</v>
      </c>
      <c r="F1649" s="151" t="s">
        <v>1177</v>
      </c>
      <c r="G1649" s="148"/>
    </row>
    <row r="1650" ht="15.75" customHeight="1">
      <c r="A1650" s="148"/>
      <c r="B1650" s="132" t="s">
        <v>322</v>
      </c>
      <c r="C1650" s="133">
        <v>1908395.0</v>
      </c>
      <c r="D1650" s="152" t="s">
        <v>543</v>
      </c>
      <c r="E1650" s="125" t="s">
        <v>296</v>
      </c>
      <c r="F1650" s="151" t="s">
        <v>1177</v>
      </c>
      <c r="G1650" s="148"/>
    </row>
    <row r="1651" ht="15.75" customHeight="1">
      <c r="A1651" s="148"/>
      <c r="B1651" s="132" t="s">
        <v>322</v>
      </c>
      <c r="C1651" s="133">
        <v>1908396.0</v>
      </c>
      <c r="D1651" s="152" t="s">
        <v>543</v>
      </c>
      <c r="E1651" s="125" t="s">
        <v>296</v>
      </c>
      <c r="F1651" s="151" t="s">
        <v>1177</v>
      </c>
      <c r="G1651" s="148"/>
    </row>
    <row r="1652" ht="15.75" customHeight="1">
      <c r="A1652" s="148"/>
      <c r="B1652" s="132" t="s">
        <v>322</v>
      </c>
      <c r="C1652" s="133">
        <v>1908397.0</v>
      </c>
      <c r="D1652" s="152" t="s">
        <v>543</v>
      </c>
      <c r="E1652" s="125" t="s">
        <v>296</v>
      </c>
      <c r="F1652" s="151" t="s">
        <v>1177</v>
      </c>
      <c r="G1652" s="148"/>
    </row>
    <row r="1653" ht="15.75" customHeight="1">
      <c r="A1653" s="148"/>
      <c r="B1653" s="132" t="s">
        <v>322</v>
      </c>
      <c r="C1653" s="133">
        <v>1908398.0</v>
      </c>
      <c r="D1653" s="152" t="s">
        <v>543</v>
      </c>
      <c r="E1653" s="125" t="s">
        <v>296</v>
      </c>
      <c r="F1653" s="151" t="s">
        <v>1177</v>
      </c>
      <c r="G1653" s="148"/>
    </row>
    <row r="1654" ht="15.75" customHeight="1">
      <c r="A1654" s="148"/>
      <c r="B1654" s="132" t="s">
        <v>322</v>
      </c>
      <c r="C1654" s="133">
        <v>1908399.0</v>
      </c>
      <c r="D1654" s="152" t="s">
        <v>543</v>
      </c>
      <c r="E1654" s="125" t="s">
        <v>296</v>
      </c>
      <c r="F1654" s="151" t="s">
        <v>1177</v>
      </c>
      <c r="G1654" s="148"/>
    </row>
    <row r="1655" ht="15.75" customHeight="1">
      <c r="A1655" s="148"/>
      <c r="B1655" s="132" t="s">
        <v>322</v>
      </c>
      <c r="C1655" s="133">
        <v>1908400.0</v>
      </c>
      <c r="D1655" s="152" t="s">
        <v>543</v>
      </c>
      <c r="E1655" s="125" t="s">
        <v>296</v>
      </c>
      <c r="F1655" s="151" t="s">
        <v>1177</v>
      </c>
      <c r="G1655" s="148"/>
    </row>
    <row r="1656" ht="15.75" customHeight="1">
      <c r="A1656" s="148"/>
      <c r="B1656" s="132" t="s">
        <v>322</v>
      </c>
      <c r="C1656" s="133">
        <v>1908401.0</v>
      </c>
      <c r="D1656" s="152" t="s">
        <v>543</v>
      </c>
      <c r="E1656" s="125" t="s">
        <v>296</v>
      </c>
      <c r="F1656" s="151" t="s">
        <v>1177</v>
      </c>
      <c r="G1656" s="148"/>
    </row>
    <row r="1657" ht="15.75" customHeight="1">
      <c r="A1657" s="148"/>
      <c r="B1657" s="132" t="s">
        <v>322</v>
      </c>
      <c r="C1657" s="133">
        <v>1908402.0</v>
      </c>
      <c r="D1657" s="152" t="s">
        <v>543</v>
      </c>
      <c r="E1657" s="125" t="s">
        <v>296</v>
      </c>
      <c r="F1657" s="151" t="s">
        <v>1177</v>
      </c>
      <c r="G1657" s="148"/>
    </row>
    <row r="1658" ht="15.75" customHeight="1">
      <c r="A1658" s="148"/>
      <c r="B1658" s="132" t="s">
        <v>322</v>
      </c>
      <c r="C1658" s="133">
        <v>1908403.0</v>
      </c>
      <c r="D1658" s="152" t="s">
        <v>543</v>
      </c>
      <c r="E1658" s="125" t="s">
        <v>296</v>
      </c>
      <c r="F1658" s="151" t="s">
        <v>1177</v>
      </c>
      <c r="G1658" s="148"/>
    </row>
    <row r="1659" ht="15.75" customHeight="1">
      <c r="A1659" s="148"/>
      <c r="B1659" s="132" t="s">
        <v>322</v>
      </c>
      <c r="C1659" s="133">
        <v>1908404.0</v>
      </c>
      <c r="D1659" s="152" t="s">
        <v>543</v>
      </c>
      <c r="E1659" s="125" t="s">
        <v>296</v>
      </c>
      <c r="F1659" s="151" t="s">
        <v>1177</v>
      </c>
      <c r="G1659" s="148"/>
    </row>
    <row r="1660" ht="15.75" customHeight="1">
      <c r="A1660" s="148"/>
      <c r="B1660" s="132" t="s">
        <v>322</v>
      </c>
      <c r="C1660" s="133">
        <v>1908405.0</v>
      </c>
      <c r="D1660" s="152" t="s">
        <v>543</v>
      </c>
      <c r="E1660" s="125" t="s">
        <v>296</v>
      </c>
      <c r="F1660" s="151" t="s">
        <v>1177</v>
      </c>
      <c r="G1660" s="148"/>
    </row>
    <row r="1661" ht="15.75" customHeight="1">
      <c r="A1661" s="148"/>
      <c r="B1661" s="132" t="s">
        <v>322</v>
      </c>
      <c r="C1661" s="133">
        <v>1908406.0</v>
      </c>
      <c r="D1661" s="152" t="s">
        <v>543</v>
      </c>
      <c r="E1661" s="125" t="s">
        <v>296</v>
      </c>
      <c r="F1661" s="151" t="s">
        <v>1177</v>
      </c>
      <c r="G1661" s="148"/>
    </row>
    <row r="1662" ht="15.75" customHeight="1">
      <c r="A1662" s="148"/>
      <c r="B1662" s="132" t="s">
        <v>322</v>
      </c>
      <c r="C1662" s="133">
        <v>1908407.0</v>
      </c>
      <c r="D1662" s="152" t="s">
        <v>543</v>
      </c>
      <c r="E1662" s="125" t="s">
        <v>296</v>
      </c>
      <c r="F1662" s="151" t="s">
        <v>1177</v>
      </c>
      <c r="G1662" s="148"/>
    </row>
    <row r="1663" ht="15.75" customHeight="1">
      <c r="A1663" s="148"/>
      <c r="B1663" s="132" t="s">
        <v>322</v>
      </c>
      <c r="C1663" s="133">
        <v>1908408.0</v>
      </c>
      <c r="D1663" s="152" t="s">
        <v>543</v>
      </c>
      <c r="E1663" s="125" t="s">
        <v>296</v>
      </c>
      <c r="F1663" s="151" t="s">
        <v>1177</v>
      </c>
      <c r="G1663" s="148"/>
    </row>
    <row r="1664" ht="15.75" customHeight="1">
      <c r="A1664" s="148"/>
      <c r="B1664" s="132" t="s">
        <v>322</v>
      </c>
      <c r="C1664" s="133">
        <v>1908409.0</v>
      </c>
      <c r="D1664" s="152" t="s">
        <v>543</v>
      </c>
      <c r="E1664" s="125" t="s">
        <v>296</v>
      </c>
      <c r="F1664" s="151" t="s">
        <v>1177</v>
      </c>
      <c r="G1664" s="148"/>
    </row>
    <row r="1665" ht="15.75" customHeight="1">
      <c r="A1665" s="148"/>
      <c r="B1665" s="132" t="s">
        <v>322</v>
      </c>
      <c r="C1665" s="133">
        <v>1908410.0</v>
      </c>
      <c r="D1665" s="152" t="s">
        <v>543</v>
      </c>
      <c r="E1665" s="125" t="s">
        <v>296</v>
      </c>
      <c r="F1665" s="151" t="s">
        <v>1177</v>
      </c>
      <c r="G1665" s="148"/>
    </row>
    <row r="1666" ht="15.75" customHeight="1">
      <c r="A1666" s="148"/>
      <c r="B1666" s="132" t="s">
        <v>322</v>
      </c>
      <c r="C1666" s="133">
        <v>1908411.0</v>
      </c>
      <c r="D1666" s="152" t="s">
        <v>543</v>
      </c>
      <c r="E1666" s="125" t="s">
        <v>296</v>
      </c>
      <c r="F1666" s="151" t="s">
        <v>1177</v>
      </c>
      <c r="G1666" s="148"/>
    </row>
    <row r="1667" ht="15.75" customHeight="1">
      <c r="A1667" s="148"/>
      <c r="B1667" s="132" t="s">
        <v>322</v>
      </c>
      <c r="C1667" s="133">
        <v>1908412.0</v>
      </c>
      <c r="D1667" s="152" t="s">
        <v>543</v>
      </c>
      <c r="E1667" s="125" t="s">
        <v>296</v>
      </c>
      <c r="F1667" s="151" t="s">
        <v>1177</v>
      </c>
      <c r="G1667" s="148"/>
    </row>
    <row r="1668" ht="15.75" customHeight="1">
      <c r="A1668" s="148"/>
      <c r="B1668" s="132" t="s">
        <v>322</v>
      </c>
      <c r="C1668" s="133">
        <v>1908413.0</v>
      </c>
      <c r="D1668" s="152" t="s">
        <v>543</v>
      </c>
      <c r="E1668" s="125" t="s">
        <v>296</v>
      </c>
      <c r="F1668" s="151" t="s">
        <v>1177</v>
      </c>
      <c r="G1668" s="148"/>
    </row>
    <row r="1669" ht="15.75" customHeight="1">
      <c r="A1669" s="148"/>
      <c r="B1669" s="132" t="s">
        <v>322</v>
      </c>
      <c r="C1669" s="133">
        <v>1908414.0</v>
      </c>
      <c r="D1669" s="152" t="s">
        <v>543</v>
      </c>
      <c r="E1669" s="125" t="s">
        <v>296</v>
      </c>
      <c r="F1669" s="151" t="s">
        <v>1177</v>
      </c>
      <c r="G1669" s="148"/>
    </row>
    <row r="1670" ht="15.75" customHeight="1">
      <c r="A1670" s="148"/>
      <c r="B1670" s="132" t="s">
        <v>322</v>
      </c>
      <c r="C1670" s="133">
        <v>1908415.0</v>
      </c>
      <c r="D1670" s="152" t="s">
        <v>543</v>
      </c>
      <c r="E1670" s="125" t="s">
        <v>296</v>
      </c>
      <c r="F1670" s="151" t="s">
        <v>1177</v>
      </c>
      <c r="G1670" s="148"/>
    </row>
    <row r="1671" ht="15.75" customHeight="1">
      <c r="A1671" s="148"/>
      <c r="B1671" s="132" t="s">
        <v>322</v>
      </c>
      <c r="C1671" s="133">
        <v>1908416.0</v>
      </c>
      <c r="D1671" s="152" t="s">
        <v>543</v>
      </c>
      <c r="E1671" s="125" t="s">
        <v>296</v>
      </c>
      <c r="F1671" s="151" t="s">
        <v>1177</v>
      </c>
      <c r="G1671" s="148"/>
    </row>
    <row r="1672" ht="15.75" customHeight="1">
      <c r="A1672" s="148"/>
      <c r="B1672" s="132" t="s">
        <v>322</v>
      </c>
      <c r="C1672" s="133">
        <v>1908417.0</v>
      </c>
      <c r="D1672" s="152" t="s">
        <v>543</v>
      </c>
      <c r="E1672" s="125" t="s">
        <v>296</v>
      </c>
      <c r="F1672" s="151" t="s">
        <v>1177</v>
      </c>
      <c r="G1672" s="148"/>
    </row>
    <row r="1673" ht="15.75" customHeight="1">
      <c r="A1673" s="148"/>
      <c r="B1673" s="132" t="s">
        <v>322</v>
      </c>
      <c r="C1673" s="133">
        <v>1908418.0</v>
      </c>
      <c r="D1673" s="152" t="s">
        <v>543</v>
      </c>
      <c r="E1673" s="125" t="s">
        <v>296</v>
      </c>
      <c r="F1673" s="151" t="s">
        <v>1177</v>
      </c>
      <c r="G1673" s="148"/>
    </row>
    <row r="1674" ht="15.75" customHeight="1">
      <c r="A1674" s="148"/>
      <c r="B1674" s="132" t="s">
        <v>322</v>
      </c>
      <c r="C1674" s="133">
        <v>1908419.0</v>
      </c>
      <c r="D1674" s="152" t="s">
        <v>543</v>
      </c>
      <c r="E1674" s="125" t="s">
        <v>296</v>
      </c>
      <c r="F1674" s="151" t="s">
        <v>1177</v>
      </c>
      <c r="G1674" s="148"/>
    </row>
    <row r="1675" ht="15.75" customHeight="1">
      <c r="A1675" s="148"/>
      <c r="B1675" s="132" t="s">
        <v>322</v>
      </c>
      <c r="C1675" s="133">
        <v>1908420.0</v>
      </c>
      <c r="D1675" s="152" t="s">
        <v>543</v>
      </c>
      <c r="E1675" s="125" t="s">
        <v>296</v>
      </c>
      <c r="F1675" s="151" t="s">
        <v>1177</v>
      </c>
      <c r="G1675" s="148"/>
    </row>
    <row r="1676" ht="15.75" customHeight="1">
      <c r="A1676" s="148"/>
      <c r="B1676" s="132" t="s">
        <v>322</v>
      </c>
      <c r="C1676" s="133">
        <v>1908421.0</v>
      </c>
      <c r="D1676" s="152" t="s">
        <v>543</v>
      </c>
      <c r="E1676" s="125" t="s">
        <v>296</v>
      </c>
      <c r="F1676" s="151" t="s">
        <v>1177</v>
      </c>
      <c r="G1676" s="148"/>
    </row>
    <row r="1677" ht="15.75" customHeight="1">
      <c r="A1677" s="148"/>
      <c r="B1677" s="132" t="s">
        <v>322</v>
      </c>
      <c r="C1677" s="133">
        <v>1908422.0</v>
      </c>
      <c r="D1677" s="152" t="s">
        <v>543</v>
      </c>
      <c r="E1677" s="125" t="s">
        <v>296</v>
      </c>
      <c r="F1677" s="151" t="s">
        <v>1177</v>
      </c>
      <c r="G1677" s="148"/>
    </row>
    <row r="1678" ht="15.75" customHeight="1">
      <c r="A1678" s="148"/>
      <c r="B1678" s="132" t="s">
        <v>322</v>
      </c>
      <c r="C1678" s="133">
        <v>1908423.0</v>
      </c>
      <c r="D1678" s="152" t="s">
        <v>543</v>
      </c>
      <c r="E1678" s="125" t="s">
        <v>296</v>
      </c>
      <c r="F1678" s="151" t="s">
        <v>1177</v>
      </c>
      <c r="G1678" s="148"/>
    </row>
    <row r="1679" ht="15.75" customHeight="1">
      <c r="A1679" s="148"/>
      <c r="B1679" s="132" t="s">
        <v>322</v>
      </c>
      <c r="C1679" s="133">
        <v>1908424.0</v>
      </c>
      <c r="D1679" s="152" t="s">
        <v>543</v>
      </c>
      <c r="E1679" s="125" t="s">
        <v>296</v>
      </c>
      <c r="F1679" s="151" t="s">
        <v>1177</v>
      </c>
      <c r="G1679" s="148"/>
    </row>
    <row r="1680" ht="15.75" customHeight="1">
      <c r="A1680" s="148"/>
      <c r="B1680" s="132" t="s">
        <v>322</v>
      </c>
      <c r="C1680" s="133">
        <v>1908425.0</v>
      </c>
      <c r="D1680" s="152" t="s">
        <v>543</v>
      </c>
      <c r="E1680" s="125" t="s">
        <v>296</v>
      </c>
      <c r="F1680" s="151" t="s">
        <v>1177</v>
      </c>
      <c r="G1680" s="148"/>
    </row>
    <row r="1681" ht="15.75" customHeight="1">
      <c r="A1681" s="148"/>
      <c r="B1681" s="132" t="s">
        <v>322</v>
      </c>
      <c r="C1681" s="133">
        <v>1908426.0</v>
      </c>
      <c r="D1681" s="152" t="s">
        <v>543</v>
      </c>
      <c r="E1681" s="125" t="s">
        <v>296</v>
      </c>
      <c r="F1681" s="151" t="s">
        <v>1177</v>
      </c>
      <c r="G1681" s="148"/>
    </row>
    <row r="1682" ht="15.75" customHeight="1">
      <c r="A1682" s="148"/>
      <c r="B1682" s="132" t="s">
        <v>322</v>
      </c>
      <c r="C1682" s="133">
        <v>1908427.0</v>
      </c>
      <c r="D1682" s="152" t="s">
        <v>543</v>
      </c>
      <c r="E1682" s="125" t="s">
        <v>296</v>
      </c>
      <c r="F1682" s="151" t="s">
        <v>1177</v>
      </c>
      <c r="G1682" s="148"/>
    </row>
    <row r="1683" ht="15.75" customHeight="1">
      <c r="A1683" s="148"/>
      <c r="B1683" s="132" t="s">
        <v>322</v>
      </c>
      <c r="C1683" s="133">
        <v>1908428.0</v>
      </c>
      <c r="D1683" s="152" t="s">
        <v>543</v>
      </c>
      <c r="E1683" s="125" t="s">
        <v>296</v>
      </c>
      <c r="F1683" s="151" t="s">
        <v>1177</v>
      </c>
      <c r="G1683" s="148"/>
    </row>
    <row r="1684" ht="15.75" customHeight="1">
      <c r="A1684" s="148"/>
      <c r="B1684" s="132" t="s">
        <v>322</v>
      </c>
      <c r="C1684" s="133">
        <v>1908429.0</v>
      </c>
      <c r="D1684" s="152" t="s">
        <v>543</v>
      </c>
      <c r="E1684" s="125" t="s">
        <v>296</v>
      </c>
      <c r="F1684" s="151" t="s">
        <v>1177</v>
      </c>
      <c r="G1684" s="148"/>
    </row>
    <row r="1685" ht="15.75" customHeight="1">
      <c r="A1685" s="148"/>
      <c r="B1685" s="132" t="s">
        <v>322</v>
      </c>
      <c r="C1685" s="133">
        <v>1908430.0</v>
      </c>
      <c r="D1685" s="152" t="s">
        <v>543</v>
      </c>
      <c r="E1685" s="125" t="s">
        <v>296</v>
      </c>
      <c r="F1685" s="151" t="s">
        <v>1177</v>
      </c>
      <c r="G1685" s="148"/>
    </row>
    <row r="1686" ht="15.75" customHeight="1">
      <c r="A1686" s="148"/>
      <c r="B1686" s="132" t="s">
        <v>322</v>
      </c>
      <c r="C1686" s="133">
        <v>1908431.0</v>
      </c>
      <c r="D1686" s="152" t="s">
        <v>543</v>
      </c>
      <c r="E1686" s="125" t="s">
        <v>296</v>
      </c>
      <c r="F1686" s="151" t="s">
        <v>1177</v>
      </c>
      <c r="G1686" s="148"/>
    </row>
    <row r="1687" ht="15.75" customHeight="1">
      <c r="A1687" s="148"/>
      <c r="B1687" s="132" t="s">
        <v>322</v>
      </c>
      <c r="C1687" s="133">
        <v>1908432.0</v>
      </c>
      <c r="D1687" s="152" t="s">
        <v>543</v>
      </c>
      <c r="E1687" s="125" t="s">
        <v>296</v>
      </c>
      <c r="F1687" s="151" t="s">
        <v>1177</v>
      </c>
      <c r="G1687" s="148"/>
    </row>
    <row r="1688" ht="15.75" customHeight="1">
      <c r="A1688" s="148"/>
      <c r="B1688" s="132" t="s">
        <v>322</v>
      </c>
      <c r="C1688" s="133">
        <v>1908433.0</v>
      </c>
      <c r="D1688" s="152" t="s">
        <v>543</v>
      </c>
      <c r="E1688" s="125" t="s">
        <v>296</v>
      </c>
      <c r="F1688" s="151" t="s">
        <v>1177</v>
      </c>
      <c r="G1688" s="148"/>
    </row>
    <row r="1689" ht="15.75" customHeight="1">
      <c r="A1689" s="148"/>
      <c r="B1689" s="132" t="s">
        <v>322</v>
      </c>
      <c r="C1689" s="133">
        <v>1908434.0</v>
      </c>
      <c r="D1689" s="152" t="s">
        <v>543</v>
      </c>
      <c r="E1689" s="125" t="s">
        <v>296</v>
      </c>
      <c r="F1689" s="151" t="s">
        <v>1177</v>
      </c>
      <c r="G1689" s="148"/>
    </row>
    <row r="1690" ht="15.75" customHeight="1">
      <c r="A1690" s="148"/>
      <c r="B1690" s="132" t="s">
        <v>322</v>
      </c>
      <c r="C1690" s="133">
        <v>1908435.0</v>
      </c>
      <c r="D1690" s="152" t="s">
        <v>543</v>
      </c>
      <c r="E1690" s="125" t="s">
        <v>296</v>
      </c>
      <c r="F1690" s="151" t="s">
        <v>1177</v>
      </c>
      <c r="G1690" s="148"/>
    </row>
    <row r="1691" ht="15.75" customHeight="1">
      <c r="A1691" s="148"/>
      <c r="B1691" s="132" t="s">
        <v>322</v>
      </c>
      <c r="C1691" s="133">
        <v>1908436.0</v>
      </c>
      <c r="D1691" s="152" t="s">
        <v>543</v>
      </c>
      <c r="E1691" s="125" t="s">
        <v>296</v>
      </c>
      <c r="F1691" s="151" t="s">
        <v>1177</v>
      </c>
      <c r="G1691" s="148"/>
    </row>
    <row r="1692" ht="15.75" customHeight="1">
      <c r="A1692" s="148"/>
      <c r="B1692" s="132" t="s">
        <v>322</v>
      </c>
      <c r="C1692" s="133">
        <v>1908437.0</v>
      </c>
      <c r="D1692" s="152" t="s">
        <v>543</v>
      </c>
      <c r="E1692" s="125" t="s">
        <v>296</v>
      </c>
      <c r="F1692" s="151" t="s">
        <v>1177</v>
      </c>
      <c r="G1692" s="148"/>
    </row>
    <row r="1693" ht="15.75" customHeight="1">
      <c r="A1693" s="148"/>
      <c r="B1693" s="132" t="s">
        <v>322</v>
      </c>
      <c r="C1693" s="133">
        <v>1908438.0</v>
      </c>
      <c r="D1693" s="152" t="s">
        <v>543</v>
      </c>
      <c r="E1693" s="125" t="s">
        <v>296</v>
      </c>
      <c r="F1693" s="151" t="s">
        <v>1177</v>
      </c>
      <c r="G1693" s="148"/>
    </row>
    <row r="1694" ht="15.75" customHeight="1">
      <c r="A1694" s="148"/>
      <c r="B1694" s="132" t="s">
        <v>322</v>
      </c>
      <c r="C1694" s="133">
        <v>1908439.0</v>
      </c>
      <c r="D1694" s="152" t="s">
        <v>543</v>
      </c>
      <c r="E1694" s="125" t="s">
        <v>296</v>
      </c>
      <c r="F1694" s="151" t="s">
        <v>1177</v>
      </c>
      <c r="G1694" s="148"/>
    </row>
    <row r="1695" ht="15.75" customHeight="1">
      <c r="A1695" s="148"/>
      <c r="B1695" s="132" t="s">
        <v>322</v>
      </c>
      <c r="C1695" s="133">
        <v>1908440.0</v>
      </c>
      <c r="D1695" s="152" t="s">
        <v>543</v>
      </c>
      <c r="E1695" s="125" t="s">
        <v>296</v>
      </c>
      <c r="F1695" s="151" t="s">
        <v>1177</v>
      </c>
      <c r="G1695" s="148"/>
    </row>
    <row r="1696" ht="15.75" customHeight="1">
      <c r="A1696" s="148"/>
      <c r="B1696" s="132" t="s">
        <v>322</v>
      </c>
      <c r="C1696" s="133">
        <v>1908441.0</v>
      </c>
      <c r="D1696" s="152" t="s">
        <v>543</v>
      </c>
      <c r="E1696" s="125" t="s">
        <v>296</v>
      </c>
      <c r="F1696" s="151" t="s">
        <v>1177</v>
      </c>
      <c r="G1696" s="148"/>
    </row>
    <row r="1697" ht="15.75" customHeight="1">
      <c r="A1697" s="148"/>
      <c r="B1697" s="132" t="s">
        <v>322</v>
      </c>
      <c r="C1697" s="133">
        <v>1908442.0</v>
      </c>
      <c r="D1697" s="152" t="s">
        <v>543</v>
      </c>
      <c r="E1697" s="125" t="s">
        <v>296</v>
      </c>
      <c r="F1697" s="151" t="s">
        <v>1177</v>
      </c>
      <c r="G1697" s="148"/>
    </row>
    <row r="1698" ht="15.75" customHeight="1">
      <c r="A1698" s="148"/>
      <c r="B1698" s="132" t="s">
        <v>322</v>
      </c>
      <c r="C1698" s="133">
        <v>1908443.0</v>
      </c>
      <c r="D1698" s="152" t="s">
        <v>543</v>
      </c>
      <c r="E1698" s="125" t="s">
        <v>296</v>
      </c>
      <c r="F1698" s="151" t="s">
        <v>1177</v>
      </c>
      <c r="G1698" s="148"/>
    </row>
    <row r="1699" ht="15.75" customHeight="1">
      <c r="A1699" s="148"/>
      <c r="B1699" s="132" t="s">
        <v>322</v>
      </c>
      <c r="C1699" s="133">
        <v>1908444.0</v>
      </c>
      <c r="D1699" s="152" t="s">
        <v>543</v>
      </c>
      <c r="E1699" s="125" t="s">
        <v>296</v>
      </c>
      <c r="F1699" s="151" t="s">
        <v>1177</v>
      </c>
      <c r="G1699" s="148"/>
    </row>
    <row r="1700" ht="15.75" customHeight="1">
      <c r="A1700" s="148"/>
      <c r="B1700" s="132" t="s">
        <v>322</v>
      </c>
      <c r="C1700" s="133">
        <v>1908445.0</v>
      </c>
      <c r="D1700" s="152" t="s">
        <v>543</v>
      </c>
      <c r="E1700" s="125" t="s">
        <v>296</v>
      </c>
      <c r="F1700" s="151" t="s">
        <v>1177</v>
      </c>
      <c r="G1700" s="148"/>
    </row>
    <row r="1701" ht="15.75" customHeight="1">
      <c r="A1701" s="148"/>
      <c r="B1701" s="132" t="s">
        <v>322</v>
      </c>
      <c r="C1701" s="133">
        <v>1908446.0</v>
      </c>
      <c r="D1701" s="152" t="s">
        <v>543</v>
      </c>
      <c r="E1701" s="125" t="s">
        <v>296</v>
      </c>
      <c r="F1701" s="151" t="s">
        <v>1177</v>
      </c>
      <c r="G1701" s="148"/>
    </row>
    <row r="1702" ht="15.75" customHeight="1">
      <c r="A1702" s="148"/>
      <c r="B1702" s="132" t="s">
        <v>322</v>
      </c>
      <c r="C1702" s="133">
        <v>1908447.0</v>
      </c>
      <c r="D1702" s="152" t="s">
        <v>543</v>
      </c>
      <c r="E1702" s="125" t="s">
        <v>296</v>
      </c>
      <c r="F1702" s="151" t="s">
        <v>1177</v>
      </c>
      <c r="G1702" s="148"/>
    </row>
    <row r="1703" ht="15.75" customHeight="1">
      <c r="A1703" s="148"/>
      <c r="B1703" s="132" t="s">
        <v>322</v>
      </c>
      <c r="C1703" s="133">
        <v>1908448.0</v>
      </c>
      <c r="D1703" s="152" t="s">
        <v>543</v>
      </c>
      <c r="E1703" s="125" t="s">
        <v>296</v>
      </c>
      <c r="F1703" s="151" t="s">
        <v>1177</v>
      </c>
      <c r="G1703" s="148"/>
    </row>
    <row r="1704" ht="15.75" customHeight="1">
      <c r="A1704" s="148"/>
      <c r="B1704" s="132" t="s">
        <v>322</v>
      </c>
      <c r="C1704" s="133">
        <v>1908449.0</v>
      </c>
      <c r="D1704" s="152" t="s">
        <v>543</v>
      </c>
      <c r="E1704" s="125" t="s">
        <v>296</v>
      </c>
      <c r="F1704" s="151" t="s">
        <v>1177</v>
      </c>
      <c r="G1704" s="148"/>
    </row>
    <row r="1705" ht="15.75" customHeight="1">
      <c r="A1705" s="148"/>
      <c r="B1705" s="132" t="s">
        <v>322</v>
      </c>
      <c r="C1705" s="133">
        <v>1908450.0</v>
      </c>
      <c r="D1705" s="152" t="s">
        <v>543</v>
      </c>
      <c r="E1705" s="125" t="s">
        <v>296</v>
      </c>
      <c r="F1705" s="151" t="s">
        <v>1177</v>
      </c>
      <c r="G1705" s="148"/>
    </row>
    <row r="1706" ht="15.75" customHeight="1">
      <c r="A1706" s="148"/>
      <c r="B1706" s="132" t="s">
        <v>322</v>
      </c>
      <c r="C1706" s="133">
        <v>1908451.0</v>
      </c>
      <c r="D1706" s="152" t="s">
        <v>543</v>
      </c>
      <c r="E1706" s="125" t="s">
        <v>296</v>
      </c>
      <c r="F1706" s="151" t="s">
        <v>1177</v>
      </c>
      <c r="G1706" s="148"/>
    </row>
    <row r="1707" ht="15.75" customHeight="1">
      <c r="A1707" s="148"/>
      <c r="B1707" s="132" t="s">
        <v>322</v>
      </c>
      <c r="C1707" s="133">
        <v>1908452.0</v>
      </c>
      <c r="D1707" s="152" t="s">
        <v>543</v>
      </c>
      <c r="E1707" s="125" t="s">
        <v>296</v>
      </c>
      <c r="F1707" s="151" t="s">
        <v>1177</v>
      </c>
      <c r="G1707" s="148"/>
    </row>
    <row r="1708" ht="15.75" customHeight="1">
      <c r="A1708" s="148"/>
      <c r="B1708" s="132" t="s">
        <v>322</v>
      </c>
      <c r="C1708" s="133">
        <v>1908453.0</v>
      </c>
      <c r="D1708" s="152" t="s">
        <v>543</v>
      </c>
      <c r="E1708" s="125" t="s">
        <v>296</v>
      </c>
      <c r="F1708" s="151" t="s">
        <v>1177</v>
      </c>
      <c r="G1708" s="148"/>
    </row>
    <row r="1709" ht="15.75" customHeight="1">
      <c r="A1709" s="148"/>
      <c r="B1709" s="132" t="s">
        <v>322</v>
      </c>
      <c r="C1709" s="133">
        <v>1908454.0</v>
      </c>
      <c r="D1709" s="152" t="s">
        <v>543</v>
      </c>
      <c r="E1709" s="125" t="s">
        <v>296</v>
      </c>
      <c r="F1709" s="151" t="s">
        <v>1177</v>
      </c>
      <c r="G1709" s="148"/>
    </row>
    <row r="1710" ht="15.75" customHeight="1">
      <c r="A1710" s="148"/>
      <c r="B1710" s="132" t="s">
        <v>322</v>
      </c>
      <c r="C1710" s="133">
        <v>1908455.0</v>
      </c>
      <c r="D1710" s="152" t="s">
        <v>543</v>
      </c>
      <c r="E1710" s="125" t="s">
        <v>296</v>
      </c>
      <c r="F1710" s="151" t="s">
        <v>1177</v>
      </c>
      <c r="G1710" s="148"/>
    </row>
    <row r="1711" ht="15.75" customHeight="1">
      <c r="A1711" s="148"/>
      <c r="B1711" s="132" t="s">
        <v>322</v>
      </c>
      <c r="C1711" s="133">
        <v>1908456.0</v>
      </c>
      <c r="D1711" s="152" t="s">
        <v>543</v>
      </c>
      <c r="E1711" s="125" t="s">
        <v>296</v>
      </c>
      <c r="F1711" s="151" t="s">
        <v>1177</v>
      </c>
      <c r="G1711" s="148"/>
    </row>
    <row r="1712" ht="15.75" customHeight="1">
      <c r="A1712" s="148"/>
      <c r="B1712" s="132" t="s">
        <v>322</v>
      </c>
      <c r="C1712" s="133">
        <v>1908457.0</v>
      </c>
      <c r="D1712" s="152" t="s">
        <v>543</v>
      </c>
      <c r="E1712" s="125" t="s">
        <v>296</v>
      </c>
      <c r="F1712" s="151" t="s">
        <v>1177</v>
      </c>
      <c r="G1712" s="148"/>
    </row>
    <row r="1713" ht="15.75" customHeight="1">
      <c r="A1713" s="148"/>
      <c r="B1713" s="132" t="s">
        <v>322</v>
      </c>
      <c r="C1713" s="133">
        <v>1908458.0</v>
      </c>
      <c r="D1713" s="152" t="s">
        <v>543</v>
      </c>
      <c r="E1713" s="125" t="s">
        <v>296</v>
      </c>
      <c r="F1713" s="151" t="s">
        <v>1177</v>
      </c>
      <c r="G1713" s="148"/>
    </row>
    <row r="1714" ht="15.75" customHeight="1">
      <c r="A1714" s="148"/>
      <c r="B1714" s="132" t="s">
        <v>322</v>
      </c>
      <c r="C1714" s="133">
        <v>1908459.0</v>
      </c>
      <c r="D1714" s="152" t="s">
        <v>543</v>
      </c>
      <c r="E1714" s="125" t="s">
        <v>296</v>
      </c>
      <c r="F1714" s="151" t="s">
        <v>1177</v>
      </c>
      <c r="G1714" s="148"/>
    </row>
    <row r="1715" ht="15.75" customHeight="1">
      <c r="A1715" s="148"/>
      <c r="B1715" s="132" t="s">
        <v>322</v>
      </c>
      <c r="C1715" s="133">
        <v>1908460.0</v>
      </c>
      <c r="D1715" s="152" t="s">
        <v>543</v>
      </c>
      <c r="E1715" s="125" t="s">
        <v>296</v>
      </c>
      <c r="F1715" s="151" t="s">
        <v>1177</v>
      </c>
      <c r="G1715" s="148"/>
    </row>
    <row r="1716" ht="15.75" customHeight="1">
      <c r="A1716" s="148"/>
      <c r="B1716" s="132" t="s">
        <v>322</v>
      </c>
      <c r="C1716" s="133">
        <v>1908461.0</v>
      </c>
      <c r="D1716" s="152" t="s">
        <v>543</v>
      </c>
      <c r="E1716" s="125" t="s">
        <v>296</v>
      </c>
      <c r="F1716" s="151" t="s">
        <v>1177</v>
      </c>
      <c r="G1716" s="148"/>
    </row>
    <row r="1717" ht="15.75" customHeight="1">
      <c r="A1717" s="148"/>
      <c r="B1717" s="132" t="s">
        <v>322</v>
      </c>
      <c r="C1717" s="133">
        <v>1908462.0</v>
      </c>
      <c r="D1717" s="152" t="s">
        <v>543</v>
      </c>
      <c r="E1717" s="125" t="s">
        <v>296</v>
      </c>
      <c r="F1717" s="151" t="s">
        <v>1177</v>
      </c>
      <c r="G1717" s="148"/>
    </row>
    <row r="1718" ht="15.75" customHeight="1">
      <c r="A1718" s="148"/>
      <c r="B1718" s="132" t="s">
        <v>322</v>
      </c>
      <c r="C1718" s="133">
        <v>1908463.0</v>
      </c>
      <c r="D1718" s="152" t="s">
        <v>543</v>
      </c>
      <c r="E1718" s="125" t="s">
        <v>296</v>
      </c>
      <c r="F1718" s="151" t="s">
        <v>1177</v>
      </c>
      <c r="G1718" s="148"/>
    </row>
    <row r="1719" ht="15.75" customHeight="1">
      <c r="A1719" s="148"/>
      <c r="B1719" s="132" t="s">
        <v>322</v>
      </c>
      <c r="C1719" s="133">
        <v>1908464.0</v>
      </c>
      <c r="D1719" s="152" t="s">
        <v>543</v>
      </c>
      <c r="E1719" s="125" t="s">
        <v>296</v>
      </c>
      <c r="F1719" s="151" t="s">
        <v>1177</v>
      </c>
      <c r="G1719" s="148"/>
    </row>
    <row r="1720" ht="15.75" customHeight="1">
      <c r="A1720" s="148"/>
      <c r="B1720" s="132" t="s">
        <v>322</v>
      </c>
      <c r="C1720" s="133">
        <v>1908465.0</v>
      </c>
      <c r="D1720" s="152" t="s">
        <v>543</v>
      </c>
      <c r="E1720" s="125" t="s">
        <v>296</v>
      </c>
      <c r="F1720" s="151" t="s">
        <v>1177</v>
      </c>
      <c r="G1720" s="148"/>
    </row>
    <row r="1721" ht="15.75" customHeight="1">
      <c r="A1721" s="148"/>
      <c r="B1721" s="132" t="s">
        <v>322</v>
      </c>
      <c r="C1721" s="133">
        <v>1908466.0</v>
      </c>
      <c r="D1721" s="152" t="s">
        <v>543</v>
      </c>
      <c r="E1721" s="125" t="s">
        <v>296</v>
      </c>
      <c r="F1721" s="151" t="s">
        <v>1177</v>
      </c>
      <c r="G1721" s="148"/>
    </row>
    <row r="1722" ht="15.75" customHeight="1">
      <c r="A1722" s="148"/>
      <c r="B1722" s="132" t="s">
        <v>322</v>
      </c>
      <c r="C1722" s="133">
        <v>1908467.0</v>
      </c>
      <c r="D1722" s="152" t="s">
        <v>543</v>
      </c>
      <c r="E1722" s="125" t="s">
        <v>296</v>
      </c>
      <c r="F1722" s="151" t="s">
        <v>1177</v>
      </c>
      <c r="G1722" s="148"/>
    </row>
    <row r="1723" ht="15.75" customHeight="1">
      <c r="A1723" s="148"/>
      <c r="B1723" s="132" t="s">
        <v>322</v>
      </c>
      <c r="C1723" s="133">
        <v>1908468.0</v>
      </c>
      <c r="D1723" s="152" t="s">
        <v>543</v>
      </c>
      <c r="E1723" s="125" t="s">
        <v>296</v>
      </c>
      <c r="F1723" s="151" t="s">
        <v>1177</v>
      </c>
      <c r="G1723" s="148"/>
    </row>
    <row r="1724" ht="15.75" customHeight="1">
      <c r="A1724" s="148"/>
      <c r="B1724" s="132" t="s">
        <v>322</v>
      </c>
      <c r="C1724" s="133">
        <v>1908469.0</v>
      </c>
      <c r="D1724" s="152" t="s">
        <v>543</v>
      </c>
      <c r="E1724" s="125" t="s">
        <v>296</v>
      </c>
      <c r="F1724" s="151" t="s">
        <v>1177</v>
      </c>
      <c r="G1724" s="148"/>
    </row>
    <row r="1725" ht="15.75" customHeight="1">
      <c r="A1725" s="148"/>
      <c r="B1725" s="132" t="s">
        <v>322</v>
      </c>
      <c r="C1725" s="133">
        <v>1908470.0</v>
      </c>
      <c r="D1725" s="152" t="s">
        <v>543</v>
      </c>
      <c r="E1725" s="125" t="s">
        <v>296</v>
      </c>
      <c r="F1725" s="151" t="s">
        <v>1177</v>
      </c>
      <c r="G1725" s="148"/>
    </row>
    <row r="1726" ht="15.75" customHeight="1">
      <c r="A1726" s="148"/>
      <c r="B1726" s="132" t="s">
        <v>322</v>
      </c>
      <c r="C1726" s="133">
        <v>1908471.0</v>
      </c>
      <c r="D1726" s="152" t="s">
        <v>543</v>
      </c>
      <c r="E1726" s="125" t="s">
        <v>296</v>
      </c>
      <c r="F1726" s="151" t="s">
        <v>1177</v>
      </c>
      <c r="G1726" s="148"/>
    </row>
    <row r="1727" ht="15.75" customHeight="1">
      <c r="A1727" s="148"/>
      <c r="B1727" s="132" t="s">
        <v>322</v>
      </c>
      <c r="C1727" s="133">
        <v>1908472.0</v>
      </c>
      <c r="D1727" s="152" t="s">
        <v>543</v>
      </c>
      <c r="E1727" s="125" t="s">
        <v>296</v>
      </c>
      <c r="F1727" s="151" t="s">
        <v>1177</v>
      </c>
      <c r="G1727" s="148"/>
    </row>
    <row r="1728" ht="15.75" customHeight="1">
      <c r="A1728" s="148"/>
      <c r="B1728" s="132" t="s">
        <v>322</v>
      </c>
      <c r="C1728" s="133">
        <v>1908473.0</v>
      </c>
      <c r="D1728" s="152" t="s">
        <v>543</v>
      </c>
      <c r="E1728" s="125" t="s">
        <v>296</v>
      </c>
      <c r="F1728" s="151" t="s">
        <v>1177</v>
      </c>
      <c r="G1728" s="148"/>
    </row>
    <row r="1729" ht="15.75" customHeight="1">
      <c r="A1729" s="148"/>
      <c r="B1729" s="132" t="s">
        <v>322</v>
      </c>
      <c r="C1729" s="133">
        <v>1908474.0</v>
      </c>
      <c r="D1729" s="152" t="s">
        <v>543</v>
      </c>
      <c r="E1729" s="125" t="s">
        <v>296</v>
      </c>
      <c r="F1729" s="151" t="s">
        <v>1177</v>
      </c>
      <c r="G1729" s="148"/>
    </row>
    <row r="1730" ht="15.75" customHeight="1">
      <c r="A1730" s="148"/>
      <c r="B1730" s="132" t="s">
        <v>322</v>
      </c>
      <c r="C1730" s="133">
        <v>1908475.0</v>
      </c>
      <c r="D1730" s="152" t="s">
        <v>543</v>
      </c>
      <c r="E1730" s="125" t="s">
        <v>296</v>
      </c>
      <c r="F1730" s="151" t="s">
        <v>1177</v>
      </c>
      <c r="G1730" s="148"/>
    </row>
    <row r="1731" ht="15.75" customHeight="1">
      <c r="A1731" s="148"/>
      <c r="B1731" s="132" t="s">
        <v>322</v>
      </c>
      <c r="C1731" s="133">
        <v>1908476.0</v>
      </c>
      <c r="D1731" s="152" t="s">
        <v>543</v>
      </c>
      <c r="E1731" s="125" t="s">
        <v>296</v>
      </c>
      <c r="F1731" s="151" t="s">
        <v>1177</v>
      </c>
      <c r="G1731" s="148"/>
    </row>
    <row r="1732" ht="15.75" customHeight="1">
      <c r="A1732" s="148"/>
      <c r="B1732" s="132" t="s">
        <v>322</v>
      </c>
      <c r="C1732" s="133">
        <v>1908477.0</v>
      </c>
      <c r="D1732" s="152" t="s">
        <v>543</v>
      </c>
      <c r="E1732" s="125" t="s">
        <v>296</v>
      </c>
      <c r="F1732" s="151" t="s">
        <v>1177</v>
      </c>
      <c r="G1732" s="148"/>
    </row>
    <row r="1733" ht="15.75" customHeight="1">
      <c r="A1733" s="148"/>
      <c r="B1733" s="132" t="s">
        <v>322</v>
      </c>
      <c r="C1733" s="133">
        <v>1908478.0</v>
      </c>
      <c r="D1733" s="152" t="s">
        <v>543</v>
      </c>
      <c r="E1733" s="125" t="s">
        <v>296</v>
      </c>
      <c r="F1733" s="151" t="s">
        <v>1177</v>
      </c>
      <c r="G1733" s="148"/>
    </row>
    <row r="1734" ht="15.75" customHeight="1">
      <c r="A1734" s="148"/>
      <c r="B1734" s="132" t="s">
        <v>322</v>
      </c>
      <c r="C1734" s="133">
        <v>1908479.0</v>
      </c>
      <c r="D1734" s="152" t="s">
        <v>543</v>
      </c>
      <c r="E1734" s="125" t="s">
        <v>296</v>
      </c>
      <c r="F1734" s="151" t="s">
        <v>1177</v>
      </c>
      <c r="G1734" s="148"/>
    </row>
    <row r="1735" ht="15.75" customHeight="1">
      <c r="A1735" s="148"/>
      <c r="B1735" s="132" t="s">
        <v>322</v>
      </c>
      <c r="C1735" s="133">
        <v>1908480.0</v>
      </c>
      <c r="D1735" s="152" t="s">
        <v>543</v>
      </c>
      <c r="E1735" s="125" t="s">
        <v>296</v>
      </c>
      <c r="F1735" s="151" t="s">
        <v>1177</v>
      </c>
      <c r="G1735" s="148"/>
    </row>
    <row r="1736" ht="15.75" customHeight="1">
      <c r="A1736" s="148"/>
      <c r="B1736" s="132" t="s">
        <v>322</v>
      </c>
      <c r="C1736" s="133">
        <v>1908481.0</v>
      </c>
      <c r="D1736" s="152" t="s">
        <v>543</v>
      </c>
      <c r="E1736" s="125" t="s">
        <v>296</v>
      </c>
      <c r="F1736" s="151" t="s">
        <v>1177</v>
      </c>
      <c r="G1736" s="148"/>
    </row>
    <row r="1737" ht="15.75" customHeight="1">
      <c r="A1737" s="148"/>
      <c r="B1737" s="132" t="s">
        <v>322</v>
      </c>
      <c r="C1737" s="133">
        <v>1908482.0</v>
      </c>
      <c r="D1737" s="152" t="s">
        <v>543</v>
      </c>
      <c r="E1737" s="125" t="s">
        <v>296</v>
      </c>
      <c r="F1737" s="151" t="s">
        <v>1177</v>
      </c>
      <c r="G1737" s="148"/>
    </row>
    <row r="1738" ht="15.75" customHeight="1">
      <c r="A1738" s="148"/>
      <c r="B1738" s="132" t="s">
        <v>322</v>
      </c>
      <c r="C1738" s="133">
        <v>1908483.0</v>
      </c>
      <c r="D1738" s="152" t="s">
        <v>543</v>
      </c>
      <c r="E1738" s="125" t="s">
        <v>296</v>
      </c>
      <c r="F1738" s="151" t="s">
        <v>1177</v>
      </c>
      <c r="G1738" s="148"/>
    </row>
    <row r="1739" ht="15.75" customHeight="1">
      <c r="A1739" s="148"/>
      <c r="B1739" s="132" t="s">
        <v>322</v>
      </c>
      <c r="C1739" s="133">
        <v>1908484.0</v>
      </c>
      <c r="D1739" s="152" t="s">
        <v>543</v>
      </c>
      <c r="E1739" s="125" t="s">
        <v>296</v>
      </c>
      <c r="F1739" s="151" t="s">
        <v>1177</v>
      </c>
      <c r="G1739" s="148"/>
    </row>
    <row r="1740" ht="15.75" customHeight="1">
      <c r="A1740" s="148"/>
      <c r="B1740" s="132" t="s">
        <v>322</v>
      </c>
      <c r="C1740" s="133">
        <v>1908485.0</v>
      </c>
      <c r="D1740" s="152" t="s">
        <v>543</v>
      </c>
      <c r="E1740" s="125" t="s">
        <v>296</v>
      </c>
      <c r="F1740" s="151" t="s">
        <v>1177</v>
      </c>
      <c r="G1740" s="148"/>
    </row>
    <row r="1741" ht="15.75" customHeight="1">
      <c r="A1741" s="148"/>
      <c r="B1741" s="132" t="s">
        <v>322</v>
      </c>
      <c r="C1741" s="133">
        <v>1908486.0</v>
      </c>
      <c r="D1741" s="152" t="s">
        <v>543</v>
      </c>
      <c r="E1741" s="125" t="s">
        <v>296</v>
      </c>
      <c r="F1741" s="151" t="s">
        <v>1177</v>
      </c>
      <c r="G1741" s="148"/>
    </row>
    <row r="1742" ht="15.75" customHeight="1">
      <c r="A1742" s="148"/>
      <c r="B1742" s="132" t="s">
        <v>322</v>
      </c>
      <c r="C1742" s="133">
        <v>1908487.0</v>
      </c>
      <c r="D1742" s="152" t="s">
        <v>543</v>
      </c>
      <c r="E1742" s="125" t="s">
        <v>296</v>
      </c>
      <c r="F1742" s="151" t="s">
        <v>1177</v>
      </c>
      <c r="G1742" s="148"/>
    </row>
    <row r="1743" ht="15.75" customHeight="1">
      <c r="A1743" s="148"/>
      <c r="B1743" s="132" t="s">
        <v>322</v>
      </c>
      <c r="C1743" s="133">
        <v>1908488.0</v>
      </c>
      <c r="D1743" s="152" t="s">
        <v>543</v>
      </c>
      <c r="E1743" s="125" t="s">
        <v>296</v>
      </c>
      <c r="F1743" s="151" t="s">
        <v>1177</v>
      </c>
      <c r="G1743" s="148"/>
    </row>
    <row r="1744" ht="15.75" customHeight="1">
      <c r="A1744" s="148"/>
      <c r="B1744" s="132" t="s">
        <v>322</v>
      </c>
      <c r="C1744" s="133">
        <v>1908489.0</v>
      </c>
      <c r="D1744" s="152" t="s">
        <v>543</v>
      </c>
      <c r="E1744" s="125" t="s">
        <v>296</v>
      </c>
      <c r="F1744" s="151" t="s">
        <v>1177</v>
      </c>
      <c r="G1744" s="148"/>
    </row>
    <row r="1745" ht="15.75" customHeight="1">
      <c r="A1745" s="148"/>
      <c r="B1745" s="132" t="s">
        <v>322</v>
      </c>
      <c r="C1745" s="133">
        <v>1908490.0</v>
      </c>
      <c r="D1745" s="152" t="s">
        <v>543</v>
      </c>
      <c r="E1745" s="125" t="s">
        <v>296</v>
      </c>
      <c r="F1745" s="151" t="s">
        <v>1177</v>
      </c>
      <c r="G1745" s="148"/>
    </row>
    <row r="1746" ht="15.75" customHeight="1">
      <c r="A1746" s="148"/>
      <c r="B1746" s="132" t="s">
        <v>322</v>
      </c>
      <c r="C1746" s="133">
        <v>1908491.0</v>
      </c>
      <c r="D1746" s="152" t="s">
        <v>543</v>
      </c>
      <c r="E1746" s="125" t="s">
        <v>296</v>
      </c>
      <c r="F1746" s="151" t="s">
        <v>1177</v>
      </c>
      <c r="G1746" s="148"/>
    </row>
    <row r="1747" ht="15.75" customHeight="1">
      <c r="A1747" s="148"/>
      <c r="B1747" s="132" t="s">
        <v>322</v>
      </c>
      <c r="C1747" s="133">
        <v>1908492.0</v>
      </c>
      <c r="D1747" s="152" t="s">
        <v>543</v>
      </c>
      <c r="E1747" s="125" t="s">
        <v>296</v>
      </c>
      <c r="F1747" s="151" t="s">
        <v>1177</v>
      </c>
      <c r="G1747" s="148"/>
    </row>
    <row r="1748" ht="15.75" customHeight="1">
      <c r="A1748" s="148"/>
      <c r="B1748" s="132" t="s">
        <v>322</v>
      </c>
      <c r="C1748" s="133">
        <v>1908493.0</v>
      </c>
      <c r="D1748" s="152" t="s">
        <v>543</v>
      </c>
      <c r="E1748" s="125" t="s">
        <v>296</v>
      </c>
      <c r="F1748" s="151" t="s">
        <v>1177</v>
      </c>
      <c r="G1748" s="148"/>
    </row>
    <row r="1749" ht="15.75" customHeight="1">
      <c r="A1749" s="148"/>
      <c r="B1749" s="132" t="s">
        <v>322</v>
      </c>
      <c r="C1749" s="133">
        <v>1908494.0</v>
      </c>
      <c r="D1749" s="152" t="s">
        <v>543</v>
      </c>
      <c r="E1749" s="125" t="s">
        <v>296</v>
      </c>
      <c r="F1749" s="151" t="s">
        <v>1177</v>
      </c>
      <c r="G1749" s="148"/>
    </row>
    <row r="1750" ht="15.75" customHeight="1">
      <c r="A1750" s="148"/>
      <c r="B1750" s="132" t="s">
        <v>322</v>
      </c>
      <c r="C1750" s="133">
        <v>1908495.0</v>
      </c>
      <c r="D1750" s="152" t="s">
        <v>543</v>
      </c>
      <c r="E1750" s="125" t="s">
        <v>296</v>
      </c>
      <c r="F1750" s="151" t="s">
        <v>1177</v>
      </c>
      <c r="G1750" s="148"/>
    </row>
    <row r="1751" ht="15.75" customHeight="1">
      <c r="A1751" s="148"/>
      <c r="B1751" s="132" t="s">
        <v>322</v>
      </c>
      <c r="C1751" s="133">
        <v>1908496.0</v>
      </c>
      <c r="D1751" s="152" t="s">
        <v>543</v>
      </c>
      <c r="E1751" s="125" t="s">
        <v>296</v>
      </c>
      <c r="F1751" s="151" t="s">
        <v>1177</v>
      </c>
      <c r="G1751" s="148"/>
    </row>
    <row r="1752" ht="15.75" customHeight="1">
      <c r="A1752" s="148"/>
      <c r="B1752" s="132" t="s">
        <v>322</v>
      </c>
      <c r="C1752" s="133">
        <v>1908497.0</v>
      </c>
      <c r="D1752" s="152" t="s">
        <v>543</v>
      </c>
      <c r="E1752" s="125" t="s">
        <v>296</v>
      </c>
      <c r="F1752" s="151" t="s">
        <v>1177</v>
      </c>
      <c r="G1752" s="148"/>
    </row>
    <row r="1753" ht="15.75" customHeight="1">
      <c r="A1753" s="148"/>
      <c r="B1753" s="132" t="s">
        <v>322</v>
      </c>
      <c r="C1753" s="133">
        <v>1908498.0</v>
      </c>
      <c r="D1753" s="152" t="s">
        <v>543</v>
      </c>
      <c r="E1753" s="125" t="s">
        <v>296</v>
      </c>
      <c r="F1753" s="151" t="s">
        <v>1177</v>
      </c>
      <c r="G1753" s="148"/>
    </row>
    <row r="1754" ht="15.75" customHeight="1">
      <c r="A1754" s="148"/>
      <c r="B1754" s="132" t="s">
        <v>322</v>
      </c>
      <c r="C1754" s="133">
        <v>1908499.0</v>
      </c>
      <c r="D1754" s="152" t="s">
        <v>543</v>
      </c>
      <c r="E1754" s="125" t="s">
        <v>296</v>
      </c>
      <c r="F1754" s="151" t="s">
        <v>1177</v>
      </c>
      <c r="G1754" s="148"/>
    </row>
    <row r="1755" ht="15.75" customHeight="1">
      <c r="A1755" s="148"/>
      <c r="B1755" s="132" t="s">
        <v>322</v>
      </c>
      <c r="C1755" s="133">
        <v>1908500.0</v>
      </c>
      <c r="D1755" s="152" t="s">
        <v>543</v>
      </c>
      <c r="E1755" s="125" t="s">
        <v>296</v>
      </c>
      <c r="F1755" s="151" t="s">
        <v>1177</v>
      </c>
      <c r="G1755" s="148"/>
    </row>
    <row r="1756" ht="15.75" customHeight="1">
      <c r="A1756" s="148"/>
      <c r="B1756" s="132" t="s">
        <v>322</v>
      </c>
      <c r="C1756" s="133">
        <v>1908501.0</v>
      </c>
      <c r="D1756" s="152" t="s">
        <v>543</v>
      </c>
      <c r="E1756" s="125" t="s">
        <v>296</v>
      </c>
      <c r="F1756" s="151" t="s">
        <v>1177</v>
      </c>
      <c r="G1756" s="148"/>
    </row>
    <row r="1757" ht="15.75" customHeight="1">
      <c r="A1757" s="148"/>
      <c r="B1757" s="132" t="s">
        <v>322</v>
      </c>
      <c r="C1757" s="133">
        <v>1908502.0</v>
      </c>
      <c r="D1757" s="152" t="s">
        <v>543</v>
      </c>
      <c r="E1757" s="125" t="s">
        <v>296</v>
      </c>
      <c r="F1757" s="151" t="s">
        <v>1177</v>
      </c>
      <c r="G1757" s="148"/>
    </row>
    <row r="1758" ht="15.75" customHeight="1">
      <c r="A1758" s="148"/>
      <c r="B1758" s="132" t="s">
        <v>322</v>
      </c>
      <c r="C1758" s="133">
        <v>1908503.0</v>
      </c>
      <c r="D1758" s="152" t="s">
        <v>543</v>
      </c>
      <c r="E1758" s="125" t="s">
        <v>296</v>
      </c>
      <c r="F1758" s="151" t="s">
        <v>1177</v>
      </c>
      <c r="G1758" s="148"/>
    </row>
    <row r="1759" ht="15.75" customHeight="1">
      <c r="A1759" s="148"/>
      <c r="B1759" s="132" t="s">
        <v>322</v>
      </c>
      <c r="C1759" s="133">
        <v>1908504.0</v>
      </c>
      <c r="D1759" s="152" t="s">
        <v>543</v>
      </c>
      <c r="E1759" s="125" t="s">
        <v>296</v>
      </c>
      <c r="F1759" s="151" t="s">
        <v>1177</v>
      </c>
      <c r="G1759" s="148"/>
    </row>
    <row r="1760" ht="15.75" customHeight="1">
      <c r="A1760" s="148"/>
      <c r="B1760" s="132" t="s">
        <v>322</v>
      </c>
      <c r="C1760" s="133">
        <v>1908505.0</v>
      </c>
      <c r="D1760" s="152" t="s">
        <v>543</v>
      </c>
      <c r="E1760" s="125" t="s">
        <v>296</v>
      </c>
      <c r="F1760" s="151" t="s">
        <v>1177</v>
      </c>
      <c r="G1760" s="148"/>
    </row>
    <row r="1761" ht="15.75" customHeight="1">
      <c r="A1761" s="148"/>
      <c r="B1761" s="132" t="s">
        <v>322</v>
      </c>
      <c r="C1761" s="133">
        <v>1908506.0</v>
      </c>
      <c r="D1761" s="152" t="s">
        <v>543</v>
      </c>
      <c r="E1761" s="125" t="s">
        <v>296</v>
      </c>
      <c r="F1761" s="151" t="s">
        <v>1177</v>
      </c>
      <c r="G1761" s="148"/>
    </row>
    <row r="1762" ht="15.75" customHeight="1">
      <c r="A1762" s="148"/>
      <c r="B1762" s="132" t="s">
        <v>322</v>
      </c>
      <c r="C1762" s="133">
        <v>1908507.0</v>
      </c>
      <c r="D1762" s="152" t="s">
        <v>543</v>
      </c>
      <c r="E1762" s="125" t="s">
        <v>296</v>
      </c>
      <c r="F1762" s="151" t="s">
        <v>1177</v>
      </c>
      <c r="G1762" s="148"/>
    </row>
    <row r="1763" ht="15.75" customHeight="1">
      <c r="A1763" s="148"/>
      <c r="B1763" s="132" t="s">
        <v>322</v>
      </c>
      <c r="C1763" s="133">
        <v>1908508.0</v>
      </c>
      <c r="D1763" s="152" t="s">
        <v>543</v>
      </c>
      <c r="E1763" s="125" t="s">
        <v>296</v>
      </c>
      <c r="F1763" s="151" t="s">
        <v>1177</v>
      </c>
      <c r="G1763" s="148"/>
    </row>
    <row r="1764" ht="15.75" customHeight="1">
      <c r="A1764" s="148"/>
      <c r="B1764" s="132" t="s">
        <v>322</v>
      </c>
      <c r="C1764" s="133">
        <v>1908509.0</v>
      </c>
      <c r="D1764" s="152" t="s">
        <v>543</v>
      </c>
      <c r="E1764" s="125" t="s">
        <v>296</v>
      </c>
      <c r="F1764" s="151" t="s">
        <v>1177</v>
      </c>
      <c r="G1764" s="148"/>
    </row>
    <row r="1765" ht="15.75" customHeight="1">
      <c r="A1765" s="148"/>
      <c r="B1765" s="132" t="s">
        <v>322</v>
      </c>
      <c r="C1765" s="133">
        <v>1908510.0</v>
      </c>
      <c r="D1765" s="152" t="s">
        <v>543</v>
      </c>
      <c r="E1765" s="125" t="s">
        <v>296</v>
      </c>
      <c r="F1765" s="151" t="s">
        <v>1177</v>
      </c>
      <c r="G1765" s="148"/>
    </row>
    <row r="1766" ht="15.75" customHeight="1">
      <c r="A1766" s="148"/>
      <c r="B1766" s="132" t="s">
        <v>322</v>
      </c>
      <c r="C1766" s="133">
        <v>1908511.0</v>
      </c>
      <c r="D1766" s="152" t="s">
        <v>543</v>
      </c>
      <c r="E1766" s="125" t="s">
        <v>296</v>
      </c>
      <c r="F1766" s="151" t="s">
        <v>1177</v>
      </c>
      <c r="G1766" s="148"/>
    </row>
    <row r="1767" ht="15.75" customHeight="1">
      <c r="A1767" s="148"/>
      <c r="B1767" s="132" t="s">
        <v>322</v>
      </c>
      <c r="C1767" s="133">
        <v>1908512.0</v>
      </c>
      <c r="D1767" s="152" t="s">
        <v>543</v>
      </c>
      <c r="E1767" s="125" t="s">
        <v>296</v>
      </c>
      <c r="F1767" s="151" t="s">
        <v>1177</v>
      </c>
      <c r="G1767" s="148"/>
    </row>
    <row r="1768" ht="15.75" customHeight="1">
      <c r="A1768" s="148"/>
      <c r="B1768" s="132" t="s">
        <v>322</v>
      </c>
      <c r="C1768" s="133">
        <v>1908513.0</v>
      </c>
      <c r="D1768" s="152" t="s">
        <v>543</v>
      </c>
      <c r="E1768" s="125" t="s">
        <v>296</v>
      </c>
      <c r="F1768" s="151" t="s">
        <v>1177</v>
      </c>
      <c r="G1768" s="148"/>
    </row>
    <row r="1769" ht="15.75" customHeight="1">
      <c r="A1769" s="148"/>
      <c r="B1769" s="132" t="s">
        <v>322</v>
      </c>
      <c r="C1769" s="133">
        <v>1908514.0</v>
      </c>
      <c r="D1769" s="152" t="s">
        <v>543</v>
      </c>
      <c r="E1769" s="125" t="s">
        <v>296</v>
      </c>
      <c r="F1769" s="151" t="s">
        <v>1177</v>
      </c>
      <c r="G1769" s="148"/>
    </row>
    <row r="1770" ht="15.75" customHeight="1">
      <c r="A1770" s="148"/>
      <c r="B1770" s="132" t="s">
        <v>322</v>
      </c>
      <c r="C1770" s="133">
        <v>1908515.0</v>
      </c>
      <c r="D1770" s="152" t="s">
        <v>543</v>
      </c>
      <c r="E1770" s="125" t="s">
        <v>296</v>
      </c>
      <c r="F1770" s="151" t="s">
        <v>1177</v>
      </c>
      <c r="G1770" s="148"/>
    </row>
    <row r="1771" ht="15.75" customHeight="1">
      <c r="A1771" s="148"/>
      <c r="B1771" s="132" t="s">
        <v>322</v>
      </c>
      <c r="C1771" s="133">
        <v>1908516.0</v>
      </c>
      <c r="D1771" s="152" t="s">
        <v>543</v>
      </c>
      <c r="E1771" s="125" t="s">
        <v>296</v>
      </c>
      <c r="F1771" s="151" t="s">
        <v>1177</v>
      </c>
      <c r="G1771" s="148"/>
    </row>
    <row r="1772" ht="15.75" customHeight="1">
      <c r="A1772" s="148"/>
      <c r="B1772" s="132" t="s">
        <v>322</v>
      </c>
      <c r="C1772" s="133">
        <v>1908517.0</v>
      </c>
      <c r="D1772" s="152" t="s">
        <v>543</v>
      </c>
      <c r="E1772" s="125" t="s">
        <v>296</v>
      </c>
      <c r="F1772" s="151" t="s">
        <v>1177</v>
      </c>
      <c r="G1772" s="148"/>
    </row>
    <row r="1773" ht="15.75" customHeight="1">
      <c r="A1773" s="148"/>
      <c r="B1773" s="132" t="s">
        <v>322</v>
      </c>
      <c r="C1773" s="133">
        <v>1908518.0</v>
      </c>
      <c r="D1773" s="152" t="s">
        <v>543</v>
      </c>
      <c r="E1773" s="125" t="s">
        <v>296</v>
      </c>
      <c r="F1773" s="151" t="s">
        <v>1177</v>
      </c>
      <c r="G1773" s="148"/>
    </row>
  </sheetData>
  <autoFilter ref="$B$1:$F$1773"/>
  <conditionalFormatting sqref="D1">
    <cfRule type="expression" dxfId="9" priority="1">
      <formula>$D1="DESCARREGADO"</formula>
    </cfRule>
  </conditionalFormatting>
  <conditionalFormatting sqref="B2:B1773">
    <cfRule type="expression" dxfId="7" priority="2">
      <formula>$D2="DESCARREGADO"</formula>
    </cfRule>
  </conditionalFormatting>
  <conditionalFormatting sqref="C1">
    <cfRule type="expression" dxfId="10" priority="3">
      <formula>#REF!="DESCARREGADO"</formula>
    </cfRule>
  </conditionalFormatting>
  <conditionalFormatting sqref="C2:C1773">
    <cfRule type="expression" dxfId="10" priority="4">
      <formula>$D2="DESCARREGADO"</formula>
    </cfRule>
  </conditionalFormatting>
  <conditionalFormatting sqref="D1:D1773">
    <cfRule type="containsText" dxfId="11" priority="5" operator="containsText" text="EM TRANSF.">
      <formula>NOT(ISERROR(SEARCH(("EM TRANSF."),(D1))))</formula>
    </cfRule>
  </conditionalFormatting>
  <conditionalFormatting sqref="D2:D1773">
    <cfRule type="cellIs" dxfId="12" priority="6" operator="equal">
      <formula>"PROCES. DESCARG."</formula>
    </cfRule>
  </conditionalFormatting>
  <conditionalFormatting sqref="D2:D1773">
    <cfRule type="cellIs" dxfId="13" priority="7" operator="equal">
      <formula>"REGISTRO"</formula>
    </cfRule>
  </conditionalFormatting>
  <conditionalFormatting sqref="D2:D1773">
    <cfRule type="cellIs" dxfId="12" priority="8" operator="equal">
      <formula>"PROCES. TRANSF."</formula>
    </cfRule>
  </conditionalFormatting>
  <conditionalFormatting sqref="D2:D1773">
    <cfRule type="cellIs" dxfId="14" priority="9" operator="equal">
      <formula>"OREI"</formula>
    </cfRule>
  </conditionalFormatting>
  <conditionalFormatting sqref="D2:D1773">
    <cfRule type="cellIs" dxfId="6" priority="10" operator="equal">
      <formula>"DESCARREGADO"</formula>
    </cfRule>
  </conditionalFormatting>
  <conditionalFormatting sqref="D2:D1773">
    <cfRule type="cellIs" dxfId="15" priority="11" operator="equal">
      <formula>"CONDENADO"</formula>
    </cfRule>
  </conditionalFormatting>
  <conditionalFormatting sqref="D2:D1773">
    <cfRule type="cellIs" dxfId="16" priority="12" operator="equal">
      <formula>"AVARIADO"</formula>
    </cfRule>
  </conditionalFormatting>
  <conditionalFormatting sqref="D2:D1773">
    <cfRule type="cellIs" dxfId="17" priority="13" operator="equal">
      <formula>"CONS. DURAD."</formula>
    </cfRule>
  </conditionalFormatting>
  <conditionalFormatting sqref="D2:D1773">
    <cfRule type="cellIs" dxfId="12" priority="14" operator="equal">
      <formula>"AGUARDAN. CARGA"</formula>
    </cfRule>
  </conditionalFormatting>
  <conditionalFormatting sqref="E1:F1773">
    <cfRule type="expression" dxfId="7" priority="15">
      <formula>$D1="DESCARREGADO"</formula>
    </cfRule>
  </conditionalFormatting>
  <dataValidations>
    <dataValidation type="list" allowBlank="1" showErrorMessage="1" sqref="B2:B1773">
      <formula1>"EMPRES.,DOC,RESERVA,ARMAZ.,COFRE,SECRETARIA,CHEFE EQUIPE,SALA AULA,REFEITÓRIO,ALOJ. CB/SD,QUART. MOT.,QUART. EQ SVÇ,ALOJ. SGT,ALOJ. FEM.,COZINHA,HALL,PAJÉ,TORRE,MANUTENÇÃO,PATRIM.,GARAGEM,OREI DEP.,DEPÓSITO,GALPÃO,F 01,F 02,F 06,F 08,F 09,F 10,F 11,F 12"</formula1>
    </dataValidation>
    <dataValidation type="list" allowBlank="1" showErrorMessage="1" sqref="D2:D1773">
      <formula1>"PERFEITO,AVARIADO,CONDENADO,AGUARDAN. CARGA,OREI,CONS. DURAD.,PROCES. DESCARG.,REGISTRO,Ñ ENCONTRADO,DESCARREGADO,TROCA NOMEN.,SEM UTILIDADE,TRANSFERIDO,EM TRANSF.,EMPRESTADO,ITEM DESCARACTZ"</formula1>
    </dataValidation>
  </dataValidations>
  <printOptions/>
  <pageMargins bottom="1.05277777777778" footer="0.0" header="0.0" left="0.7875" right="0.7875" top="1.05277777777778"/>
  <pageSetup paperSize="9" orientation="portrait"/>
  <headerFooter>
    <oddHeader>&amp;Cffffff&amp;A</oddHeader>
    <oddFooter>&amp;CffffffPágina &amp;P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88"/>
    <col customWidth="1" min="2" max="2" width="15.88"/>
    <col customWidth="1" min="3" max="3" width="5.0"/>
    <col customWidth="1" min="4" max="4" width="5.5"/>
    <col customWidth="1" min="5" max="5" width="14.38"/>
    <col customWidth="1" min="6" max="6" width="21.88"/>
    <col customWidth="1" min="7" max="7" width="15.0"/>
    <col customWidth="1" min="8" max="8" width="143.25"/>
    <col customWidth="1" min="9" max="9" width="2.88"/>
  </cols>
  <sheetData>
    <row r="1" ht="29.25" customHeight="1">
      <c r="A1" s="153"/>
      <c r="B1" s="154" t="s">
        <v>290</v>
      </c>
      <c r="C1" s="155" t="s">
        <v>1178</v>
      </c>
      <c r="D1" s="156" t="s">
        <v>9</v>
      </c>
      <c r="E1" s="144" t="s">
        <v>291</v>
      </c>
      <c r="F1" s="154" t="s">
        <v>292</v>
      </c>
      <c r="G1" s="145" t="s">
        <v>293</v>
      </c>
      <c r="H1" s="146" t="s">
        <v>396</v>
      </c>
      <c r="I1" s="153"/>
    </row>
    <row r="2" ht="15.75" customHeight="1">
      <c r="A2" s="121"/>
      <c r="B2" s="157" t="s">
        <v>302</v>
      </c>
      <c r="C2" s="158">
        <v>1.0</v>
      </c>
      <c r="D2" s="159" t="b">
        <v>1</v>
      </c>
      <c r="E2" s="160">
        <v>501202.0</v>
      </c>
      <c r="F2" s="161" t="s">
        <v>543</v>
      </c>
      <c r="G2" s="125" t="s">
        <v>296</v>
      </c>
      <c r="H2" s="135" t="s">
        <v>1179</v>
      </c>
      <c r="I2" s="121"/>
    </row>
    <row r="3" ht="15.75" customHeight="1">
      <c r="A3" s="121"/>
      <c r="B3" s="162" t="s">
        <v>1180</v>
      </c>
      <c r="C3" s="158">
        <v>1.0</v>
      </c>
      <c r="D3" s="159" t="b">
        <v>1</v>
      </c>
      <c r="E3" s="160">
        <v>937117.0</v>
      </c>
      <c r="F3" s="161" t="s">
        <v>543</v>
      </c>
      <c r="G3" s="125" t="s">
        <v>296</v>
      </c>
      <c r="H3" s="135" t="s">
        <v>1181</v>
      </c>
      <c r="I3" s="121"/>
    </row>
    <row r="4" ht="15.75" customHeight="1">
      <c r="A4" s="121"/>
      <c r="B4" s="162" t="s">
        <v>1182</v>
      </c>
      <c r="C4" s="158">
        <v>1.0</v>
      </c>
      <c r="D4" s="159" t="b">
        <v>1</v>
      </c>
      <c r="E4" s="160">
        <v>937118.0</v>
      </c>
      <c r="F4" s="152" t="s">
        <v>1183</v>
      </c>
      <c r="G4" s="125" t="s">
        <v>296</v>
      </c>
      <c r="H4" s="135" t="s">
        <v>1184</v>
      </c>
      <c r="I4" s="121"/>
    </row>
    <row r="5" ht="15.75" customHeight="1">
      <c r="A5" s="121"/>
      <c r="B5" s="162" t="s">
        <v>1185</v>
      </c>
      <c r="C5" s="158">
        <v>1.0</v>
      </c>
      <c r="D5" s="159" t="b">
        <v>1</v>
      </c>
      <c r="E5" s="160">
        <v>937119.0</v>
      </c>
      <c r="F5" s="152" t="s">
        <v>1183</v>
      </c>
      <c r="G5" s="125" t="s">
        <v>296</v>
      </c>
      <c r="H5" s="135" t="s">
        <v>1186</v>
      </c>
      <c r="I5" s="121"/>
    </row>
    <row r="6" ht="15.75" customHeight="1">
      <c r="A6" s="121"/>
      <c r="B6" s="162" t="s">
        <v>1185</v>
      </c>
      <c r="C6" s="158">
        <v>1.0</v>
      </c>
      <c r="D6" s="159" t="b">
        <v>1</v>
      </c>
      <c r="E6" s="160">
        <v>937120.0</v>
      </c>
      <c r="F6" s="152" t="s">
        <v>1183</v>
      </c>
      <c r="G6" s="125" t="s">
        <v>296</v>
      </c>
      <c r="H6" s="135" t="s">
        <v>1187</v>
      </c>
      <c r="I6" s="121"/>
    </row>
    <row r="7" ht="15.75" customHeight="1">
      <c r="A7" s="121"/>
      <c r="B7" s="162" t="s">
        <v>1185</v>
      </c>
      <c r="C7" s="158">
        <v>1.0</v>
      </c>
      <c r="D7" s="159" t="b">
        <v>1</v>
      </c>
      <c r="E7" s="160">
        <v>937121.0</v>
      </c>
      <c r="F7" s="152" t="s">
        <v>1183</v>
      </c>
      <c r="G7" s="125" t="s">
        <v>296</v>
      </c>
      <c r="H7" s="135" t="s">
        <v>1188</v>
      </c>
      <c r="I7" s="121"/>
    </row>
    <row r="8" ht="15.75" customHeight="1">
      <c r="A8" s="121"/>
      <c r="B8" s="162" t="s">
        <v>1185</v>
      </c>
      <c r="C8" s="158">
        <v>1.0</v>
      </c>
      <c r="D8" s="159" t="b">
        <v>1</v>
      </c>
      <c r="E8" s="160">
        <v>937122.0</v>
      </c>
      <c r="F8" s="152" t="s">
        <v>1183</v>
      </c>
      <c r="G8" s="125" t="s">
        <v>296</v>
      </c>
      <c r="H8" s="135" t="s">
        <v>1189</v>
      </c>
      <c r="I8" s="121"/>
    </row>
    <row r="9" ht="15.75" customHeight="1">
      <c r="A9" s="121"/>
      <c r="B9" s="162" t="s">
        <v>1190</v>
      </c>
      <c r="C9" s="158" t="s">
        <v>24</v>
      </c>
      <c r="D9" s="159" t="b">
        <v>1</v>
      </c>
      <c r="E9" s="160">
        <v>937142.0</v>
      </c>
      <c r="F9" s="149" t="s">
        <v>397</v>
      </c>
      <c r="G9" s="125" t="s">
        <v>1191</v>
      </c>
      <c r="H9" s="135" t="s">
        <v>1192</v>
      </c>
      <c r="I9" s="121"/>
    </row>
    <row r="10" ht="15.75" customHeight="1">
      <c r="A10" s="121"/>
      <c r="B10" s="157" t="s">
        <v>1190</v>
      </c>
      <c r="C10" s="158">
        <v>1.0</v>
      </c>
      <c r="D10" s="159" t="b">
        <v>1</v>
      </c>
      <c r="E10" s="160">
        <v>937192.0</v>
      </c>
      <c r="F10" s="149" t="s">
        <v>397</v>
      </c>
      <c r="G10" s="150" t="s">
        <v>1193</v>
      </c>
      <c r="H10" s="135" t="s">
        <v>1194</v>
      </c>
      <c r="I10" s="121"/>
    </row>
    <row r="11" ht="15.75" customHeight="1">
      <c r="A11" s="121"/>
      <c r="B11" s="162" t="s">
        <v>1185</v>
      </c>
      <c r="C11" s="158">
        <v>1.0</v>
      </c>
      <c r="D11" s="159" t="b">
        <v>1</v>
      </c>
      <c r="E11" s="160">
        <v>937193.0</v>
      </c>
      <c r="F11" s="152" t="s">
        <v>543</v>
      </c>
      <c r="G11" s="125" t="s">
        <v>296</v>
      </c>
      <c r="H11" s="135" t="s">
        <v>1195</v>
      </c>
      <c r="I11" s="121"/>
    </row>
    <row r="12" ht="15.75" customHeight="1">
      <c r="A12" s="121"/>
      <c r="B12" s="162" t="s">
        <v>1190</v>
      </c>
      <c r="C12" s="158">
        <v>1.0</v>
      </c>
      <c r="D12" s="163" t="b">
        <v>1</v>
      </c>
      <c r="E12" s="160">
        <v>937228.0</v>
      </c>
      <c r="F12" s="161" t="s">
        <v>1196</v>
      </c>
      <c r="G12" s="150" t="s">
        <v>1197</v>
      </c>
      <c r="H12" s="135" t="s">
        <v>1198</v>
      </c>
      <c r="I12" s="121"/>
    </row>
    <row r="13" ht="15.75" customHeight="1">
      <c r="A13" s="121"/>
      <c r="B13" s="162" t="s">
        <v>1190</v>
      </c>
      <c r="C13" s="158" t="s">
        <v>24</v>
      </c>
      <c r="D13" s="159" t="b">
        <v>1</v>
      </c>
      <c r="E13" s="160">
        <v>937244.0</v>
      </c>
      <c r="F13" s="149" t="s">
        <v>397</v>
      </c>
      <c r="G13" s="150" t="s">
        <v>1199</v>
      </c>
      <c r="H13" s="135" t="s">
        <v>1200</v>
      </c>
      <c r="I13" s="121"/>
    </row>
    <row r="14" ht="15.75" customHeight="1">
      <c r="A14" s="121"/>
      <c r="B14" s="162" t="s">
        <v>322</v>
      </c>
      <c r="C14" s="158">
        <v>1.0</v>
      </c>
      <c r="D14" s="159" t="b">
        <v>1</v>
      </c>
      <c r="E14" s="160">
        <v>937318.0</v>
      </c>
      <c r="F14" s="149" t="s">
        <v>397</v>
      </c>
      <c r="G14" s="150" t="s">
        <v>1193</v>
      </c>
      <c r="H14" s="135" t="s">
        <v>1201</v>
      </c>
      <c r="I14" s="121"/>
    </row>
    <row r="15" ht="15.75" customHeight="1">
      <c r="A15" s="121"/>
      <c r="B15" s="162" t="s">
        <v>322</v>
      </c>
      <c r="C15" s="158">
        <v>1.0</v>
      </c>
      <c r="D15" s="159" t="b">
        <v>1</v>
      </c>
      <c r="E15" s="160">
        <v>937328.0</v>
      </c>
      <c r="F15" s="149" t="s">
        <v>397</v>
      </c>
      <c r="G15" s="150" t="s">
        <v>1193</v>
      </c>
      <c r="H15" s="135" t="s">
        <v>1202</v>
      </c>
      <c r="I15" s="121"/>
    </row>
    <row r="16" ht="15.75" customHeight="1">
      <c r="A16" s="121"/>
      <c r="B16" s="162" t="s">
        <v>322</v>
      </c>
      <c r="C16" s="158"/>
      <c r="D16" s="159" t="b">
        <v>1</v>
      </c>
      <c r="E16" s="160">
        <v>937351.0</v>
      </c>
      <c r="F16" s="149" t="s">
        <v>397</v>
      </c>
      <c r="G16" s="150" t="s">
        <v>1203</v>
      </c>
      <c r="H16" s="135" t="s">
        <v>1204</v>
      </c>
      <c r="I16" s="121"/>
    </row>
    <row r="17" ht="15.75" customHeight="1">
      <c r="A17" s="121"/>
      <c r="B17" s="162" t="s">
        <v>322</v>
      </c>
      <c r="C17" s="158"/>
      <c r="D17" s="159" t="b">
        <v>1</v>
      </c>
      <c r="E17" s="160">
        <v>937352.0</v>
      </c>
      <c r="F17" s="149" t="s">
        <v>397</v>
      </c>
      <c r="G17" s="150" t="s">
        <v>1203</v>
      </c>
      <c r="H17" s="135" t="s">
        <v>1205</v>
      </c>
      <c r="I17" s="121"/>
    </row>
    <row r="18" ht="15.75" customHeight="1">
      <c r="A18" s="121"/>
      <c r="B18" s="162" t="s">
        <v>1190</v>
      </c>
      <c r="C18" s="158" t="s">
        <v>24</v>
      </c>
      <c r="D18" s="159" t="b">
        <v>1</v>
      </c>
      <c r="E18" s="164">
        <v>937353.0</v>
      </c>
      <c r="F18" s="149" t="s">
        <v>397</v>
      </c>
      <c r="G18" s="125" t="s">
        <v>1191</v>
      </c>
      <c r="H18" s="135" t="s">
        <v>1206</v>
      </c>
      <c r="I18" s="121"/>
    </row>
    <row r="19" ht="15.75" customHeight="1">
      <c r="A19" s="121"/>
      <c r="B19" s="162" t="s">
        <v>322</v>
      </c>
      <c r="C19" s="158"/>
      <c r="D19" s="159" t="b">
        <v>1</v>
      </c>
      <c r="E19" s="160">
        <v>937354.0</v>
      </c>
      <c r="F19" s="149" t="s">
        <v>397</v>
      </c>
      <c r="G19" s="150" t="s">
        <v>1203</v>
      </c>
      <c r="H19" s="135" t="s">
        <v>1207</v>
      </c>
      <c r="I19" s="121"/>
    </row>
    <row r="20" ht="15.75" customHeight="1">
      <c r="A20" s="121"/>
      <c r="B20" s="162" t="s">
        <v>322</v>
      </c>
      <c r="C20" s="158"/>
      <c r="D20" s="159" t="b">
        <v>1</v>
      </c>
      <c r="E20" s="160">
        <v>937771.0</v>
      </c>
      <c r="F20" s="149" t="s">
        <v>397</v>
      </c>
      <c r="G20" s="150" t="s">
        <v>1203</v>
      </c>
      <c r="H20" s="135" t="s">
        <v>1208</v>
      </c>
      <c r="I20" s="121"/>
    </row>
    <row r="21" ht="15.75" customHeight="1">
      <c r="A21" s="121"/>
      <c r="B21" s="162" t="s">
        <v>1190</v>
      </c>
      <c r="C21" s="158" t="s">
        <v>24</v>
      </c>
      <c r="D21" s="159" t="b">
        <v>1</v>
      </c>
      <c r="E21" s="160">
        <v>937787.0</v>
      </c>
      <c r="F21" s="161" t="s">
        <v>397</v>
      </c>
      <c r="G21" s="125" t="s">
        <v>1191</v>
      </c>
      <c r="H21" s="135" t="s">
        <v>1209</v>
      </c>
      <c r="I21" s="121"/>
    </row>
    <row r="22" ht="15.75" customHeight="1">
      <c r="A22" s="121"/>
      <c r="B22" s="162" t="s">
        <v>1190</v>
      </c>
      <c r="C22" s="158" t="s">
        <v>24</v>
      </c>
      <c r="D22" s="159" t="b">
        <v>1</v>
      </c>
      <c r="E22" s="160">
        <v>937824.0</v>
      </c>
      <c r="F22" s="161" t="s">
        <v>397</v>
      </c>
      <c r="G22" s="125" t="s">
        <v>1191</v>
      </c>
      <c r="H22" s="135" t="s">
        <v>1210</v>
      </c>
      <c r="I22" s="121"/>
    </row>
    <row r="23" ht="15.75" customHeight="1">
      <c r="A23" s="121"/>
      <c r="B23" s="162" t="s">
        <v>1190</v>
      </c>
      <c r="C23" s="158" t="s">
        <v>24</v>
      </c>
      <c r="D23" s="159" t="b">
        <v>1</v>
      </c>
      <c r="E23" s="160">
        <v>937825.0</v>
      </c>
      <c r="F23" s="161" t="s">
        <v>397</v>
      </c>
      <c r="G23" s="125" t="s">
        <v>1191</v>
      </c>
      <c r="H23" s="135" t="s">
        <v>1211</v>
      </c>
      <c r="I23" s="121"/>
    </row>
    <row r="24" ht="15.75" customHeight="1">
      <c r="A24" s="121"/>
      <c r="B24" s="162" t="s">
        <v>1190</v>
      </c>
      <c r="C24" s="158" t="s">
        <v>24</v>
      </c>
      <c r="D24" s="159" t="b">
        <v>1</v>
      </c>
      <c r="E24" s="160">
        <v>937826.0</v>
      </c>
      <c r="F24" s="161" t="s">
        <v>397</v>
      </c>
      <c r="G24" s="125" t="s">
        <v>1191</v>
      </c>
      <c r="H24" s="135" t="s">
        <v>1212</v>
      </c>
      <c r="I24" s="121"/>
    </row>
    <row r="25" ht="15.75" customHeight="1">
      <c r="A25" s="121"/>
      <c r="B25" s="162" t="s">
        <v>1190</v>
      </c>
      <c r="C25" s="158" t="s">
        <v>24</v>
      </c>
      <c r="D25" s="159" t="b">
        <v>1</v>
      </c>
      <c r="E25" s="160">
        <v>937827.0</v>
      </c>
      <c r="F25" s="161" t="s">
        <v>397</v>
      </c>
      <c r="G25" s="125" t="s">
        <v>1191</v>
      </c>
      <c r="H25" s="135" t="s">
        <v>1213</v>
      </c>
      <c r="I25" s="121"/>
    </row>
    <row r="26" ht="15.75" customHeight="1">
      <c r="A26" s="121"/>
      <c r="B26" s="162" t="s">
        <v>1190</v>
      </c>
      <c r="C26" s="158" t="s">
        <v>24</v>
      </c>
      <c r="D26" s="159" t="b">
        <v>1</v>
      </c>
      <c r="E26" s="160">
        <v>937828.0</v>
      </c>
      <c r="F26" s="161" t="s">
        <v>397</v>
      </c>
      <c r="G26" s="125" t="s">
        <v>1191</v>
      </c>
      <c r="H26" s="135" t="s">
        <v>1214</v>
      </c>
      <c r="I26" s="121"/>
    </row>
    <row r="27" ht="15.75" customHeight="1">
      <c r="A27" s="121"/>
      <c r="B27" s="162" t="s">
        <v>1190</v>
      </c>
      <c r="C27" s="158" t="s">
        <v>24</v>
      </c>
      <c r="D27" s="159" t="b">
        <v>1</v>
      </c>
      <c r="E27" s="160">
        <v>937829.0</v>
      </c>
      <c r="F27" s="161" t="s">
        <v>397</v>
      </c>
      <c r="G27" s="125" t="s">
        <v>1191</v>
      </c>
      <c r="H27" s="135" t="s">
        <v>1215</v>
      </c>
      <c r="I27" s="121"/>
    </row>
    <row r="28" ht="15.75" customHeight="1">
      <c r="A28" s="121"/>
      <c r="B28" s="162" t="s">
        <v>1190</v>
      </c>
      <c r="C28" s="158" t="s">
        <v>24</v>
      </c>
      <c r="D28" s="159" t="b">
        <v>1</v>
      </c>
      <c r="E28" s="160">
        <v>937830.0</v>
      </c>
      <c r="F28" s="161" t="s">
        <v>397</v>
      </c>
      <c r="G28" s="125" t="s">
        <v>1191</v>
      </c>
      <c r="H28" s="135" t="s">
        <v>1216</v>
      </c>
      <c r="I28" s="121"/>
    </row>
    <row r="29" ht="15.75" customHeight="1">
      <c r="A29" s="121"/>
      <c r="B29" s="162" t="s">
        <v>1190</v>
      </c>
      <c r="C29" s="158" t="s">
        <v>24</v>
      </c>
      <c r="D29" s="159" t="b">
        <v>1</v>
      </c>
      <c r="E29" s="160">
        <v>937831.0</v>
      </c>
      <c r="F29" s="161" t="s">
        <v>397</v>
      </c>
      <c r="G29" s="125" t="s">
        <v>1191</v>
      </c>
      <c r="H29" s="135" t="s">
        <v>1217</v>
      </c>
      <c r="I29" s="121"/>
    </row>
    <row r="30" ht="15.75" customHeight="1">
      <c r="A30" s="121"/>
      <c r="B30" s="162" t="s">
        <v>1190</v>
      </c>
      <c r="C30" s="158" t="s">
        <v>24</v>
      </c>
      <c r="D30" s="159" t="b">
        <v>1</v>
      </c>
      <c r="E30" s="160">
        <v>937832.0</v>
      </c>
      <c r="F30" s="161" t="s">
        <v>397</v>
      </c>
      <c r="G30" s="125" t="s">
        <v>1191</v>
      </c>
      <c r="H30" s="135" t="s">
        <v>1218</v>
      </c>
      <c r="I30" s="121"/>
    </row>
    <row r="31" ht="15.75" customHeight="1">
      <c r="A31" s="121"/>
      <c r="B31" s="162" t="s">
        <v>1190</v>
      </c>
      <c r="C31" s="158" t="s">
        <v>24</v>
      </c>
      <c r="D31" s="159" t="b">
        <v>1</v>
      </c>
      <c r="E31" s="160">
        <v>937833.0</v>
      </c>
      <c r="F31" s="161" t="s">
        <v>397</v>
      </c>
      <c r="G31" s="125" t="s">
        <v>1191</v>
      </c>
      <c r="H31" s="135" t="s">
        <v>1219</v>
      </c>
      <c r="I31" s="121"/>
    </row>
    <row r="32" ht="15.75" customHeight="1">
      <c r="A32" s="121"/>
      <c r="B32" s="162" t="s">
        <v>1190</v>
      </c>
      <c r="C32" s="158" t="s">
        <v>24</v>
      </c>
      <c r="D32" s="159" t="b">
        <v>0</v>
      </c>
      <c r="E32" s="160">
        <v>937834.0</v>
      </c>
      <c r="F32" s="161" t="s">
        <v>397</v>
      </c>
      <c r="G32" s="125" t="s">
        <v>1191</v>
      </c>
      <c r="H32" s="135" t="s">
        <v>1220</v>
      </c>
      <c r="I32" s="121"/>
    </row>
    <row r="33" ht="15.75" customHeight="1">
      <c r="A33" s="121"/>
      <c r="B33" s="162" t="s">
        <v>1190</v>
      </c>
      <c r="C33" s="158">
        <v>3.0</v>
      </c>
      <c r="D33" s="159" t="b">
        <v>1</v>
      </c>
      <c r="E33" s="160">
        <v>937875.0</v>
      </c>
      <c r="F33" s="161" t="s">
        <v>1196</v>
      </c>
      <c r="G33" s="150" t="s">
        <v>1197</v>
      </c>
      <c r="H33" s="135" t="s">
        <v>1221</v>
      </c>
      <c r="I33" s="121"/>
    </row>
    <row r="34" ht="15.75" customHeight="1">
      <c r="A34" s="121"/>
      <c r="B34" s="157" t="s">
        <v>1190</v>
      </c>
      <c r="C34" s="158">
        <v>3.0</v>
      </c>
      <c r="D34" s="159" t="b">
        <v>1</v>
      </c>
      <c r="E34" s="160">
        <v>937876.0</v>
      </c>
      <c r="F34" s="161" t="s">
        <v>1196</v>
      </c>
      <c r="G34" s="150" t="s">
        <v>1197</v>
      </c>
      <c r="H34" s="135" t="s">
        <v>1222</v>
      </c>
      <c r="I34" s="121"/>
    </row>
    <row r="35" ht="15.75" customHeight="1">
      <c r="A35" s="121"/>
      <c r="B35" s="162" t="s">
        <v>322</v>
      </c>
      <c r="C35" s="158">
        <v>3.0</v>
      </c>
      <c r="D35" s="159" t="b">
        <v>1</v>
      </c>
      <c r="E35" s="160">
        <v>937877.0</v>
      </c>
      <c r="F35" s="149" t="s">
        <v>397</v>
      </c>
      <c r="G35" s="150" t="s">
        <v>1193</v>
      </c>
      <c r="H35" s="135" t="s">
        <v>1223</v>
      </c>
      <c r="I35" s="121"/>
    </row>
    <row r="36" ht="15.75" customHeight="1">
      <c r="A36" s="121"/>
      <c r="B36" s="162" t="s">
        <v>1224</v>
      </c>
      <c r="C36" s="158">
        <v>3.0</v>
      </c>
      <c r="D36" s="159" t="b">
        <v>1</v>
      </c>
      <c r="E36" s="160">
        <v>937882.0</v>
      </c>
      <c r="F36" s="152" t="s">
        <v>1225</v>
      </c>
      <c r="G36" s="125" t="s">
        <v>296</v>
      </c>
      <c r="H36" s="135" t="s">
        <v>1226</v>
      </c>
      <c r="I36" s="121"/>
    </row>
    <row r="37" ht="15.75" customHeight="1">
      <c r="A37" s="121"/>
      <c r="B37" s="162" t="s">
        <v>1190</v>
      </c>
      <c r="C37" s="158" t="s">
        <v>24</v>
      </c>
      <c r="D37" s="159" t="b">
        <v>1</v>
      </c>
      <c r="E37" s="160">
        <v>937942.0</v>
      </c>
      <c r="F37" s="149" t="s">
        <v>397</v>
      </c>
      <c r="G37" s="125" t="s">
        <v>1191</v>
      </c>
      <c r="H37" s="135" t="s">
        <v>1227</v>
      </c>
      <c r="I37" s="121"/>
    </row>
    <row r="38" ht="15.75" customHeight="1">
      <c r="A38" s="121"/>
      <c r="B38" s="157" t="s">
        <v>302</v>
      </c>
      <c r="C38" s="158">
        <v>3.0</v>
      </c>
      <c r="D38" s="159" t="b">
        <v>1</v>
      </c>
      <c r="E38" s="160">
        <v>937946.0</v>
      </c>
      <c r="F38" s="149" t="s">
        <v>1228</v>
      </c>
      <c r="G38" s="150" t="s">
        <v>1229</v>
      </c>
      <c r="H38" s="135" t="s">
        <v>1230</v>
      </c>
      <c r="I38" s="121"/>
    </row>
    <row r="39" ht="15.75" customHeight="1">
      <c r="A39" s="121"/>
      <c r="B39" s="162" t="s">
        <v>322</v>
      </c>
      <c r="C39" s="158">
        <v>3.0</v>
      </c>
      <c r="D39" s="159" t="b">
        <v>1</v>
      </c>
      <c r="E39" s="160">
        <v>937950.0</v>
      </c>
      <c r="F39" s="149" t="s">
        <v>397</v>
      </c>
      <c r="G39" s="150" t="s">
        <v>1193</v>
      </c>
      <c r="H39" s="135" t="s">
        <v>1231</v>
      </c>
      <c r="I39" s="121"/>
    </row>
    <row r="40" ht="15.75" customHeight="1">
      <c r="A40" s="121"/>
      <c r="B40" s="157" t="s">
        <v>322</v>
      </c>
      <c r="C40" s="158">
        <v>4.0</v>
      </c>
      <c r="D40" s="159" t="b">
        <v>1</v>
      </c>
      <c r="E40" s="160">
        <v>938021.0</v>
      </c>
      <c r="F40" s="161" t="s">
        <v>1232</v>
      </c>
      <c r="G40" s="125" t="s">
        <v>296</v>
      </c>
      <c r="H40" s="135" t="s">
        <v>1233</v>
      </c>
      <c r="I40" s="121"/>
    </row>
    <row r="41" ht="15.75" customHeight="1">
      <c r="A41" s="121"/>
      <c r="B41" s="157" t="s">
        <v>322</v>
      </c>
      <c r="C41" s="158">
        <v>3.0</v>
      </c>
      <c r="D41" s="159" t="b">
        <v>1</v>
      </c>
      <c r="E41" s="160">
        <v>938022.0</v>
      </c>
      <c r="F41" s="161" t="s">
        <v>1232</v>
      </c>
      <c r="G41" s="125" t="s">
        <v>296</v>
      </c>
      <c r="H41" s="135" t="s">
        <v>1234</v>
      </c>
      <c r="I41" s="121"/>
    </row>
    <row r="42" ht="15.75" customHeight="1">
      <c r="A42" s="121"/>
      <c r="B42" s="162" t="s">
        <v>1235</v>
      </c>
      <c r="C42" s="158">
        <v>3.0</v>
      </c>
      <c r="D42" s="159" t="b">
        <v>1</v>
      </c>
      <c r="E42" s="160">
        <v>938023.0</v>
      </c>
      <c r="F42" s="161" t="s">
        <v>1232</v>
      </c>
      <c r="G42" s="125" t="s">
        <v>296</v>
      </c>
      <c r="H42" s="135" t="s">
        <v>1236</v>
      </c>
      <c r="I42" s="121"/>
    </row>
    <row r="43" ht="15.75" customHeight="1">
      <c r="A43" s="121"/>
      <c r="B43" s="162" t="s">
        <v>1237</v>
      </c>
      <c r="C43" s="158">
        <v>4.0</v>
      </c>
      <c r="D43" s="159" t="b">
        <v>1</v>
      </c>
      <c r="E43" s="160">
        <v>938024.0</v>
      </c>
      <c r="F43" s="161" t="s">
        <v>1232</v>
      </c>
      <c r="G43" s="125" t="s">
        <v>296</v>
      </c>
      <c r="H43" s="135" t="s">
        <v>1238</v>
      </c>
      <c r="I43" s="121"/>
    </row>
    <row r="44" ht="15.75" customHeight="1">
      <c r="A44" s="121"/>
      <c r="B44" s="157" t="s">
        <v>322</v>
      </c>
      <c r="C44" s="158">
        <v>3.0</v>
      </c>
      <c r="D44" s="159" t="b">
        <v>1</v>
      </c>
      <c r="E44" s="160">
        <v>938025.0</v>
      </c>
      <c r="F44" s="161" t="s">
        <v>1232</v>
      </c>
      <c r="G44" s="125" t="s">
        <v>296</v>
      </c>
      <c r="H44" s="135" t="s">
        <v>1239</v>
      </c>
      <c r="I44" s="121"/>
    </row>
    <row r="45" ht="15.75" customHeight="1">
      <c r="A45" s="121"/>
      <c r="B45" s="162" t="s">
        <v>1237</v>
      </c>
      <c r="C45" s="158">
        <v>3.0</v>
      </c>
      <c r="D45" s="159" t="b">
        <v>1</v>
      </c>
      <c r="E45" s="160">
        <v>938026.0</v>
      </c>
      <c r="F45" s="161" t="s">
        <v>1232</v>
      </c>
      <c r="G45" s="125" t="s">
        <v>296</v>
      </c>
      <c r="H45" s="135" t="s">
        <v>1240</v>
      </c>
      <c r="I45" s="121"/>
    </row>
    <row r="46" ht="15.75" customHeight="1">
      <c r="A46" s="121"/>
      <c r="B46" s="162" t="s">
        <v>1241</v>
      </c>
      <c r="C46" s="158">
        <v>3.0</v>
      </c>
      <c r="D46" s="159" t="b">
        <v>1</v>
      </c>
      <c r="E46" s="160">
        <v>938027.0</v>
      </c>
      <c r="F46" s="161" t="s">
        <v>1232</v>
      </c>
      <c r="G46" s="125" t="s">
        <v>296</v>
      </c>
      <c r="H46" s="135" t="s">
        <v>1242</v>
      </c>
      <c r="I46" s="121"/>
    </row>
    <row r="47" ht="15.75" customHeight="1">
      <c r="A47" s="121"/>
      <c r="B47" s="162" t="s">
        <v>1241</v>
      </c>
      <c r="C47" s="158">
        <v>4.0</v>
      </c>
      <c r="D47" s="159" t="b">
        <v>1</v>
      </c>
      <c r="E47" s="160">
        <v>938028.0</v>
      </c>
      <c r="F47" s="161" t="s">
        <v>1232</v>
      </c>
      <c r="G47" s="125" t="s">
        <v>296</v>
      </c>
      <c r="H47" s="135" t="s">
        <v>1243</v>
      </c>
      <c r="I47" s="121"/>
    </row>
    <row r="48" ht="15.75" customHeight="1">
      <c r="A48" s="121"/>
      <c r="B48" s="162" t="s">
        <v>1241</v>
      </c>
      <c r="C48" s="158">
        <v>4.0</v>
      </c>
      <c r="D48" s="159" t="b">
        <v>1</v>
      </c>
      <c r="E48" s="160">
        <v>938029.0</v>
      </c>
      <c r="F48" s="161" t="s">
        <v>1232</v>
      </c>
      <c r="G48" s="125" t="s">
        <v>296</v>
      </c>
      <c r="H48" s="135" t="s">
        <v>1244</v>
      </c>
      <c r="I48" s="121"/>
    </row>
    <row r="49" ht="15.75" customHeight="1">
      <c r="A49" s="121"/>
      <c r="B49" s="162" t="s">
        <v>1245</v>
      </c>
      <c r="C49" s="158">
        <v>4.0</v>
      </c>
      <c r="D49" s="159" t="b">
        <v>1</v>
      </c>
      <c r="E49" s="160">
        <v>938030.0</v>
      </c>
      <c r="F49" s="161" t="s">
        <v>1232</v>
      </c>
      <c r="G49" s="125" t="s">
        <v>296</v>
      </c>
      <c r="H49" s="135" t="s">
        <v>1246</v>
      </c>
      <c r="I49" s="121"/>
    </row>
    <row r="50" ht="15.75" customHeight="1">
      <c r="A50" s="121"/>
      <c r="B50" s="162" t="s">
        <v>1245</v>
      </c>
      <c r="C50" s="158">
        <v>4.0</v>
      </c>
      <c r="D50" s="159" t="b">
        <v>1</v>
      </c>
      <c r="E50" s="160">
        <v>938031.0</v>
      </c>
      <c r="F50" s="161" t="s">
        <v>1232</v>
      </c>
      <c r="G50" s="125" t="s">
        <v>296</v>
      </c>
      <c r="H50" s="135" t="s">
        <v>1247</v>
      </c>
      <c r="I50" s="121"/>
    </row>
    <row r="51" ht="15.75" customHeight="1">
      <c r="A51" s="121"/>
      <c r="B51" s="162" t="s">
        <v>1245</v>
      </c>
      <c r="C51" s="158">
        <v>4.0</v>
      </c>
      <c r="D51" s="159" t="b">
        <v>1</v>
      </c>
      <c r="E51" s="160">
        <v>938032.0</v>
      </c>
      <c r="F51" s="161" t="s">
        <v>1232</v>
      </c>
      <c r="G51" s="125" t="s">
        <v>296</v>
      </c>
      <c r="H51" s="135" t="s">
        <v>1248</v>
      </c>
      <c r="I51" s="121"/>
    </row>
    <row r="52" ht="15.75" customHeight="1">
      <c r="A52" s="121"/>
      <c r="B52" s="162" t="s">
        <v>1245</v>
      </c>
      <c r="C52" s="158">
        <v>5.0</v>
      </c>
      <c r="D52" s="159" t="b">
        <v>1</v>
      </c>
      <c r="E52" s="160">
        <v>938033.0</v>
      </c>
      <c r="F52" s="161" t="s">
        <v>1232</v>
      </c>
      <c r="G52" s="125" t="s">
        <v>296</v>
      </c>
      <c r="H52" s="135" t="s">
        <v>1249</v>
      </c>
      <c r="I52" s="121"/>
    </row>
    <row r="53" ht="15.75" customHeight="1">
      <c r="A53" s="121"/>
      <c r="B53" s="162" t="s">
        <v>1185</v>
      </c>
      <c r="C53" s="158">
        <v>4.0</v>
      </c>
      <c r="D53" s="159" t="b">
        <v>1</v>
      </c>
      <c r="E53" s="160">
        <v>938034.0</v>
      </c>
      <c r="F53" s="161" t="s">
        <v>1232</v>
      </c>
      <c r="G53" s="125" t="s">
        <v>296</v>
      </c>
      <c r="H53" s="135" t="s">
        <v>1250</v>
      </c>
      <c r="I53" s="121"/>
    </row>
    <row r="54" ht="15.75" customHeight="1">
      <c r="A54" s="121"/>
      <c r="B54" s="162" t="s">
        <v>1185</v>
      </c>
      <c r="C54" s="158">
        <v>4.0</v>
      </c>
      <c r="D54" s="159" t="b">
        <v>1</v>
      </c>
      <c r="E54" s="160">
        <v>938035.0</v>
      </c>
      <c r="F54" s="161" t="s">
        <v>1232</v>
      </c>
      <c r="G54" s="125" t="s">
        <v>296</v>
      </c>
      <c r="H54" s="135" t="s">
        <v>1251</v>
      </c>
      <c r="I54" s="121"/>
    </row>
    <row r="55" ht="15.75" customHeight="1">
      <c r="A55" s="121"/>
      <c r="B55" s="162" t="s">
        <v>1252</v>
      </c>
      <c r="C55" s="158">
        <v>5.0</v>
      </c>
      <c r="D55" s="159" t="b">
        <v>1</v>
      </c>
      <c r="E55" s="160">
        <v>938036.0</v>
      </c>
      <c r="F55" s="161" t="s">
        <v>1232</v>
      </c>
      <c r="G55" s="125" t="s">
        <v>296</v>
      </c>
      <c r="H55" s="135" t="s">
        <v>1253</v>
      </c>
      <c r="I55" s="121"/>
    </row>
    <row r="56" ht="15.75" customHeight="1">
      <c r="A56" s="121"/>
      <c r="B56" s="162" t="s">
        <v>1254</v>
      </c>
      <c r="C56" s="158">
        <v>4.0</v>
      </c>
      <c r="D56" s="159" t="b">
        <v>1</v>
      </c>
      <c r="E56" s="160">
        <v>938037.0</v>
      </c>
      <c r="F56" s="161" t="s">
        <v>1232</v>
      </c>
      <c r="G56" s="125" t="s">
        <v>296</v>
      </c>
      <c r="H56" s="135" t="s">
        <v>1255</v>
      </c>
      <c r="I56" s="121"/>
    </row>
    <row r="57" ht="15.75" customHeight="1">
      <c r="A57" s="121"/>
      <c r="B57" s="162" t="s">
        <v>322</v>
      </c>
      <c r="C57" s="158">
        <v>4.0</v>
      </c>
      <c r="D57" s="159" t="b">
        <v>1</v>
      </c>
      <c r="E57" s="160">
        <v>938038.0</v>
      </c>
      <c r="F57" s="152" t="s">
        <v>1232</v>
      </c>
      <c r="G57" s="125" t="s">
        <v>296</v>
      </c>
      <c r="H57" s="135" t="s">
        <v>1256</v>
      </c>
      <c r="I57" s="121"/>
    </row>
    <row r="58" ht="15.75" customHeight="1">
      <c r="A58" s="121"/>
      <c r="B58" s="162" t="s">
        <v>322</v>
      </c>
      <c r="C58" s="158">
        <v>5.0</v>
      </c>
      <c r="D58" s="159" t="b">
        <v>1</v>
      </c>
      <c r="E58" s="160">
        <v>938039.0</v>
      </c>
      <c r="F58" s="152" t="s">
        <v>1232</v>
      </c>
      <c r="G58" s="125" t="s">
        <v>296</v>
      </c>
      <c r="H58" s="135" t="s">
        <v>1257</v>
      </c>
      <c r="I58" s="121"/>
    </row>
    <row r="59" ht="15.75" customHeight="1">
      <c r="A59" s="121"/>
      <c r="B59" s="162" t="s">
        <v>322</v>
      </c>
      <c r="C59" s="158">
        <v>4.0</v>
      </c>
      <c r="D59" s="159" t="b">
        <v>1</v>
      </c>
      <c r="E59" s="160">
        <v>938040.0</v>
      </c>
      <c r="F59" s="152" t="s">
        <v>1232</v>
      </c>
      <c r="G59" s="125" t="s">
        <v>296</v>
      </c>
      <c r="H59" s="135" t="s">
        <v>1258</v>
      </c>
      <c r="I59" s="121"/>
    </row>
    <row r="60" ht="15.75" customHeight="1">
      <c r="A60" s="121"/>
      <c r="B60" s="162" t="s">
        <v>322</v>
      </c>
      <c r="C60" s="158">
        <v>4.0</v>
      </c>
      <c r="D60" s="159" t="b">
        <v>1</v>
      </c>
      <c r="E60" s="160">
        <v>938041.0</v>
      </c>
      <c r="F60" s="152" t="s">
        <v>1232</v>
      </c>
      <c r="G60" s="125" t="s">
        <v>296</v>
      </c>
      <c r="H60" s="135" t="s">
        <v>1259</v>
      </c>
      <c r="I60" s="121"/>
    </row>
    <row r="61" ht="15.75" customHeight="1">
      <c r="A61" s="121"/>
      <c r="B61" s="162" t="s">
        <v>322</v>
      </c>
      <c r="C61" s="158">
        <v>5.0</v>
      </c>
      <c r="D61" s="159" t="b">
        <v>1</v>
      </c>
      <c r="E61" s="160">
        <v>938042.0</v>
      </c>
      <c r="F61" s="152" t="s">
        <v>1232</v>
      </c>
      <c r="G61" s="125" t="s">
        <v>296</v>
      </c>
      <c r="H61" s="135" t="s">
        <v>1260</v>
      </c>
      <c r="I61" s="121"/>
    </row>
    <row r="62" ht="15.75" customHeight="1">
      <c r="A62" s="121"/>
      <c r="B62" s="162" t="s">
        <v>322</v>
      </c>
      <c r="C62" s="158">
        <v>5.0</v>
      </c>
      <c r="D62" s="159" t="b">
        <v>1</v>
      </c>
      <c r="E62" s="160">
        <v>938043.0</v>
      </c>
      <c r="F62" s="152" t="s">
        <v>1232</v>
      </c>
      <c r="G62" s="125" t="s">
        <v>296</v>
      </c>
      <c r="H62" s="135" t="s">
        <v>1261</v>
      </c>
      <c r="I62" s="121"/>
    </row>
    <row r="63" ht="15.75" customHeight="1">
      <c r="A63" s="121"/>
      <c r="B63" s="162" t="s">
        <v>322</v>
      </c>
      <c r="C63" s="158">
        <v>5.0</v>
      </c>
      <c r="D63" s="159" t="b">
        <v>1</v>
      </c>
      <c r="E63" s="160">
        <v>938044.0</v>
      </c>
      <c r="F63" s="152" t="s">
        <v>1232</v>
      </c>
      <c r="G63" s="125" t="s">
        <v>296</v>
      </c>
      <c r="H63" s="135" t="s">
        <v>1262</v>
      </c>
      <c r="I63" s="121"/>
    </row>
    <row r="64" ht="15.75" customHeight="1">
      <c r="A64" s="121"/>
      <c r="B64" s="162" t="s">
        <v>322</v>
      </c>
      <c r="C64" s="158">
        <v>11.0</v>
      </c>
      <c r="D64" s="159" t="b">
        <v>1</v>
      </c>
      <c r="E64" s="160">
        <v>938045.0</v>
      </c>
      <c r="F64" s="152" t="s">
        <v>1232</v>
      </c>
      <c r="G64" s="125" t="s">
        <v>296</v>
      </c>
      <c r="H64" s="135" t="s">
        <v>1263</v>
      </c>
      <c r="I64" s="121"/>
    </row>
    <row r="65" ht="15.75" customHeight="1">
      <c r="A65" s="121"/>
      <c r="B65" s="162" t="s">
        <v>322</v>
      </c>
      <c r="C65" s="158">
        <v>5.0</v>
      </c>
      <c r="D65" s="159" t="b">
        <v>1</v>
      </c>
      <c r="E65" s="160">
        <v>938046.0</v>
      </c>
      <c r="F65" s="152" t="s">
        <v>1232</v>
      </c>
      <c r="G65" s="125" t="s">
        <v>296</v>
      </c>
      <c r="H65" s="135" t="s">
        <v>1264</v>
      </c>
      <c r="I65" s="121"/>
    </row>
    <row r="66" ht="15.75" customHeight="1">
      <c r="A66" s="121"/>
      <c r="B66" s="162" t="s">
        <v>322</v>
      </c>
      <c r="C66" s="158">
        <v>5.0</v>
      </c>
      <c r="D66" s="159" t="b">
        <v>1</v>
      </c>
      <c r="E66" s="160">
        <v>938047.0</v>
      </c>
      <c r="F66" s="149" t="s">
        <v>397</v>
      </c>
      <c r="G66" s="125" t="s">
        <v>296</v>
      </c>
      <c r="H66" s="135" t="s">
        <v>1265</v>
      </c>
      <c r="I66" s="121"/>
    </row>
    <row r="67" ht="15.75" customHeight="1">
      <c r="A67" s="121"/>
      <c r="B67" s="162" t="s">
        <v>322</v>
      </c>
      <c r="C67" s="158">
        <v>11.0</v>
      </c>
      <c r="D67" s="159" t="b">
        <v>1</v>
      </c>
      <c r="E67" s="160">
        <v>938048.0</v>
      </c>
      <c r="F67" s="152" t="s">
        <v>1232</v>
      </c>
      <c r="G67" s="125" t="s">
        <v>296</v>
      </c>
      <c r="H67" s="135" t="s">
        <v>1266</v>
      </c>
      <c r="I67" s="121"/>
    </row>
    <row r="68" ht="15.75" customHeight="1">
      <c r="A68" s="121"/>
      <c r="B68" s="162" t="s">
        <v>322</v>
      </c>
      <c r="C68" s="158">
        <v>5.0</v>
      </c>
      <c r="D68" s="159" t="b">
        <v>1</v>
      </c>
      <c r="E68" s="160">
        <v>938049.0</v>
      </c>
      <c r="F68" s="152" t="s">
        <v>1232</v>
      </c>
      <c r="G68" s="125" t="s">
        <v>296</v>
      </c>
      <c r="H68" s="135" t="s">
        <v>1267</v>
      </c>
      <c r="I68" s="121"/>
    </row>
    <row r="69" ht="15.75" customHeight="1">
      <c r="A69" s="121"/>
      <c r="B69" s="162" t="s">
        <v>322</v>
      </c>
      <c r="C69" s="158">
        <v>5.0</v>
      </c>
      <c r="D69" s="159" t="b">
        <v>1</v>
      </c>
      <c r="E69" s="160">
        <v>938050.0</v>
      </c>
      <c r="F69" s="152" t="s">
        <v>1232</v>
      </c>
      <c r="G69" s="125" t="s">
        <v>296</v>
      </c>
      <c r="H69" s="135" t="s">
        <v>1268</v>
      </c>
      <c r="I69" s="121"/>
    </row>
    <row r="70" ht="15.75" customHeight="1">
      <c r="A70" s="121"/>
      <c r="B70" s="162" t="s">
        <v>322</v>
      </c>
      <c r="C70" s="158">
        <v>11.0</v>
      </c>
      <c r="D70" s="159" t="b">
        <v>1</v>
      </c>
      <c r="E70" s="160">
        <v>938051.0</v>
      </c>
      <c r="F70" s="152" t="s">
        <v>1232</v>
      </c>
      <c r="G70" s="125" t="s">
        <v>296</v>
      </c>
      <c r="H70" s="135" t="s">
        <v>1269</v>
      </c>
      <c r="I70" s="121"/>
    </row>
    <row r="71" ht="15.75" customHeight="1">
      <c r="A71" s="121"/>
      <c r="B71" s="162" t="s">
        <v>322</v>
      </c>
      <c r="C71" s="158">
        <v>5.0</v>
      </c>
      <c r="D71" s="159" t="b">
        <v>1</v>
      </c>
      <c r="E71" s="160">
        <v>938052.0</v>
      </c>
      <c r="F71" s="152" t="s">
        <v>1232</v>
      </c>
      <c r="G71" s="125" t="s">
        <v>296</v>
      </c>
      <c r="H71" s="135" t="s">
        <v>1270</v>
      </c>
      <c r="I71" s="121"/>
    </row>
    <row r="72" ht="15.75" customHeight="1">
      <c r="A72" s="121"/>
      <c r="B72" s="162" t="s">
        <v>322</v>
      </c>
      <c r="C72" s="158">
        <v>11.0</v>
      </c>
      <c r="D72" s="159" t="b">
        <v>1</v>
      </c>
      <c r="E72" s="160">
        <v>938117.0</v>
      </c>
      <c r="F72" s="152" t="s">
        <v>1271</v>
      </c>
      <c r="G72" s="125" t="s">
        <v>296</v>
      </c>
      <c r="H72" s="135" t="s">
        <v>1272</v>
      </c>
      <c r="I72" s="121"/>
    </row>
    <row r="73" ht="15.75" customHeight="1">
      <c r="A73" s="121"/>
      <c r="B73" s="162" t="s">
        <v>322</v>
      </c>
      <c r="C73" s="158">
        <v>11.0</v>
      </c>
      <c r="D73" s="159" t="b">
        <v>1</v>
      </c>
      <c r="E73" s="160">
        <v>938123.0</v>
      </c>
      <c r="F73" s="152" t="s">
        <v>1271</v>
      </c>
      <c r="G73" s="125" t="s">
        <v>296</v>
      </c>
      <c r="H73" s="135" t="s">
        <v>1273</v>
      </c>
      <c r="I73" s="121"/>
    </row>
    <row r="74" ht="15.75" customHeight="1">
      <c r="A74" s="121"/>
      <c r="B74" s="162" t="s">
        <v>322</v>
      </c>
      <c r="C74" s="158">
        <v>7.0</v>
      </c>
      <c r="D74" s="159" t="b">
        <v>1</v>
      </c>
      <c r="E74" s="160">
        <v>938124.0</v>
      </c>
      <c r="F74" s="152" t="s">
        <v>1271</v>
      </c>
      <c r="G74" s="125" t="s">
        <v>296</v>
      </c>
      <c r="H74" s="135" t="s">
        <v>1274</v>
      </c>
      <c r="I74" s="121"/>
    </row>
    <row r="75" ht="15.75" customHeight="1">
      <c r="A75" s="121"/>
      <c r="B75" s="162" t="s">
        <v>322</v>
      </c>
      <c r="C75" s="158">
        <v>11.0</v>
      </c>
      <c r="D75" s="159" t="b">
        <v>1</v>
      </c>
      <c r="E75" s="160">
        <v>938125.0</v>
      </c>
      <c r="F75" s="149" t="s">
        <v>397</v>
      </c>
      <c r="G75" s="150" t="s">
        <v>1193</v>
      </c>
      <c r="H75" s="135" t="s">
        <v>1275</v>
      </c>
      <c r="I75" s="121"/>
    </row>
    <row r="76" ht="15.75" customHeight="1">
      <c r="A76" s="121"/>
      <c r="B76" s="157" t="s">
        <v>286</v>
      </c>
      <c r="C76" s="158">
        <v>11.0</v>
      </c>
      <c r="D76" s="159" t="b">
        <v>1</v>
      </c>
      <c r="E76" s="160">
        <v>938163.0</v>
      </c>
      <c r="F76" s="152" t="s">
        <v>543</v>
      </c>
      <c r="G76" s="125" t="s">
        <v>296</v>
      </c>
      <c r="H76" s="135" t="s">
        <v>1276</v>
      </c>
      <c r="I76" s="121"/>
    </row>
    <row r="77" ht="15.75" customHeight="1">
      <c r="A77" s="121"/>
      <c r="B77" s="157" t="s">
        <v>286</v>
      </c>
      <c r="C77" s="158">
        <v>7.0</v>
      </c>
      <c r="D77" s="159" t="b">
        <v>1</v>
      </c>
      <c r="E77" s="160">
        <v>938164.0</v>
      </c>
      <c r="F77" s="152" t="s">
        <v>543</v>
      </c>
      <c r="G77" s="125" t="s">
        <v>296</v>
      </c>
      <c r="H77" s="135" t="s">
        <v>1277</v>
      </c>
      <c r="I77" s="121"/>
    </row>
    <row r="78" ht="15.75" customHeight="1">
      <c r="A78" s="121"/>
      <c r="B78" s="162" t="s">
        <v>1190</v>
      </c>
      <c r="C78" s="158" t="s">
        <v>24</v>
      </c>
      <c r="D78" s="159" t="b">
        <v>1</v>
      </c>
      <c r="E78" s="160">
        <v>938165.0</v>
      </c>
      <c r="F78" s="161" t="s">
        <v>397</v>
      </c>
      <c r="G78" s="150" t="s">
        <v>1278</v>
      </c>
      <c r="H78" s="135" t="s">
        <v>1279</v>
      </c>
      <c r="I78" s="121"/>
    </row>
    <row r="79" ht="15.75" customHeight="1">
      <c r="A79" s="121"/>
      <c r="B79" s="157" t="s">
        <v>1245</v>
      </c>
      <c r="C79" s="158">
        <v>7.0</v>
      </c>
      <c r="D79" s="159" t="b">
        <v>1</v>
      </c>
      <c r="E79" s="160">
        <v>938243.0</v>
      </c>
      <c r="F79" s="149" t="s">
        <v>1280</v>
      </c>
      <c r="G79" s="125" t="s">
        <v>296</v>
      </c>
      <c r="H79" s="135" t="s">
        <v>1281</v>
      </c>
      <c r="I79" s="121"/>
    </row>
    <row r="80" ht="15.75" customHeight="1">
      <c r="A80" s="121"/>
      <c r="B80" s="162" t="s">
        <v>322</v>
      </c>
      <c r="C80" s="158">
        <v>7.0</v>
      </c>
      <c r="D80" s="159" t="b">
        <v>1</v>
      </c>
      <c r="E80" s="160">
        <v>938365.0</v>
      </c>
      <c r="F80" s="152" t="s">
        <v>1232</v>
      </c>
      <c r="G80" s="125" t="s">
        <v>296</v>
      </c>
      <c r="H80" s="135" t="s">
        <v>1282</v>
      </c>
      <c r="I80" s="121"/>
    </row>
    <row r="81" ht="15.75" customHeight="1">
      <c r="A81" s="121"/>
      <c r="B81" s="162" t="s">
        <v>322</v>
      </c>
      <c r="C81" s="158">
        <v>7.0</v>
      </c>
      <c r="D81" s="159" t="b">
        <v>1</v>
      </c>
      <c r="E81" s="160">
        <v>938366.0</v>
      </c>
      <c r="F81" s="152" t="s">
        <v>1232</v>
      </c>
      <c r="G81" s="125" t="s">
        <v>296</v>
      </c>
      <c r="H81" s="135" t="s">
        <v>1283</v>
      </c>
      <c r="I81" s="121"/>
    </row>
    <row r="82" ht="15.75" customHeight="1">
      <c r="A82" s="121"/>
      <c r="B82" s="162" t="s">
        <v>322</v>
      </c>
      <c r="C82" s="158">
        <v>7.0</v>
      </c>
      <c r="D82" s="159" t="b">
        <v>1</v>
      </c>
      <c r="E82" s="160">
        <v>938367.0</v>
      </c>
      <c r="F82" s="152" t="s">
        <v>1232</v>
      </c>
      <c r="G82" s="125" t="s">
        <v>296</v>
      </c>
      <c r="H82" s="135" t="s">
        <v>1284</v>
      </c>
      <c r="I82" s="121"/>
    </row>
    <row r="83" ht="15.75" customHeight="1">
      <c r="A83" s="121"/>
      <c r="B83" s="162" t="s">
        <v>322</v>
      </c>
      <c r="C83" s="158">
        <v>8.0</v>
      </c>
      <c r="D83" s="159" t="b">
        <v>1</v>
      </c>
      <c r="E83" s="160">
        <v>938418.0</v>
      </c>
      <c r="F83" s="149" t="s">
        <v>397</v>
      </c>
      <c r="G83" s="150" t="s">
        <v>1193</v>
      </c>
      <c r="H83" s="135" t="s">
        <v>1285</v>
      </c>
      <c r="I83" s="121"/>
    </row>
    <row r="84" ht="15.75" customHeight="1">
      <c r="A84" s="121"/>
      <c r="B84" s="162" t="s">
        <v>322</v>
      </c>
      <c r="C84" s="158">
        <v>7.0</v>
      </c>
      <c r="D84" s="159" t="b">
        <v>1</v>
      </c>
      <c r="E84" s="160">
        <v>938419.0</v>
      </c>
      <c r="F84" s="149" t="s">
        <v>397</v>
      </c>
      <c r="G84" s="150" t="s">
        <v>1193</v>
      </c>
      <c r="H84" s="135" t="s">
        <v>1286</v>
      </c>
      <c r="I84" s="121"/>
    </row>
    <row r="85" ht="15.75" customHeight="1">
      <c r="A85" s="121"/>
      <c r="B85" s="162" t="s">
        <v>1190</v>
      </c>
      <c r="C85" s="158" t="s">
        <v>24</v>
      </c>
      <c r="D85" s="159" t="b">
        <v>1</v>
      </c>
      <c r="E85" s="160">
        <v>938420.0</v>
      </c>
      <c r="F85" s="149" t="s">
        <v>397</v>
      </c>
      <c r="G85" s="150" t="s">
        <v>1199</v>
      </c>
      <c r="H85" s="135" t="s">
        <v>1285</v>
      </c>
      <c r="I85" s="121"/>
    </row>
    <row r="86" ht="15.75" customHeight="1">
      <c r="A86" s="121"/>
      <c r="B86" s="162" t="s">
        <v>322</v>
      </c>
      <c r="C86" s="158">
        <v>8.0</v>
      </c>
      <c r="D86" s="159" t="b">
        <v>1</v>
      </c>
      <c r="E86" s="160">
        <v>938421.0</v>
      </c>
      <c r="F86" s="149" t="s">
        <v>397</v>
      </c>
      <c r="G86" s="150" t="s">
        <v>1193</v>
      </c>
      <c r="H86" s="135" t="s">
        <v>1287</v>
      </c>
      <c r="I86" s="121"/>
    </row>
    <row r="87" ht="15.75" customHeight="1">
      <c r="A87" s="121"/>
      <c r="B87" s="162" t="s">
        <v>322</v>
      </c>
      <c r="C87" s="158">
        <v>7.0</v>
      </c>
      <c r="D87" s="159" t="b">
        <v>1</v>
      </c>
      <c r="E87" s="160">
        <v>938424.0</v>
      </c>
      <c r="F87" s="152" t="s">
        <v>1271</v>
      </c>
      <c r="G87" s="125" t="s">
        <v>296</v>
      </c>
      <c r="H87" s="135" t="s">
        <v>1288</v>
      </c>
      <c r="I87" s="121"/>
    </row>
    <row r="88" ht="15.75" customHeight="1">
      <c r="A88" s="121"/>
      <c r="B88" s="162" t="s">
        <v>322</v>
      </c>
      <c r="C88" s="158">
        <v>8.0</v>
      </c>
      <c r="D88" s="159" t="b">
        <v>1</v>
      </c>
      <c r="E88" s="160">
        <v>938462.0</v>
      </c>
      <c r="F88" s="152" t="s">
        <v>1271</v>
      </c>
      <c r="G88" s="125" t="s">
        <v>296</v>
      </c>
      <c r="H88" s="135" t="s">
        <v>1289</v>
      </c>
      <c r="I88" s="121"/>
    </row>
    <row r="89" ht="15.75" customHeight="1">
      <c r="A89" s="121"/>
      <c r="B89" s="162" t="s">
        <v>322</v>
      </c>
      <c r="C89" s="158">
        <v>8.0</v>
      </c>
      <c r="D89" s="159" t="b">
        <v>1</v>
      </c>
      <c r="E89" s="160">
        <v>938463.0</v>
      </c>
      <c r="F89" s="152" t="s">
        <v>1271</v>
      </c>
      <c r="G89" s="125" t="s">
        <v>296</v>
      </c>
      <c r="H89" s="135" t="s">
        <v>1290</v>
      </c>
      <c r="I89" s="121"/>
    </row>
    <row r="90" ht="15.75" customHeight="1">
      <c r="A90" s="121"/>
      <c r="B90" s="162" t="s">
        <v>322</v>
      </c>
      <c r="C90" s="158">
        <v>9.0</v>
      </c>
      <c r="D90" s="159" t="b">
        <v>1</v>
      </c>
      <c r="E90" s="160">
        <v>938464.0</v>
      </c>
      <c r="F90" s="152" t="s">
        <v>1271</v>
      </c>
      <c r="G90" s="125" t="s">
        <v>296</v>
      </c>
      <c r="H90" s="135" t="s">
        <v>1291</v>
      </c>
      <c r="I90" s="121"/>
    </row>
    <row r="91" ht="15.75" customHeight="1">
      <c r="A91" s="121"/>
      <c r="B91" s="162" t="s">
        <v>322</v>
      </c>
      <c r="C91" s="158">
        <v>8.0</v>
      </c>
      <c r="D91" s="159" t="b">
        <v>1</v>
      </c>
      <c r="E91" s="160">
        <v>938465.0</v>
      </c>
      <c r="F91" s="152" t="s">
        <v>1271</v>
      </c>
      <c r="G91" s="125" t="s">
        <v>296</v>
      </c>
      <c r="H91" s="135" t="s">
        <v>1292</v>
      </c>
      <c r="I91" s="121"/>
    </row>
    <row r="92" ht="15.75" customHeight="1">
      <c r="A92" s="121"/>
      <c r="B92" s="162" t="s">
        <v>322</v>
      </c>
      <c r="C92" s="158">
        <v>9.0</v>
      </c>
      <c r="D92" s="159" t="b">
        <v>1</v>
      </c>
      <c r="E92" s="160">
        <v>938466.0</v>
      </c>
      <c r="F92" s="152" t="s">
        <v>1271</v>
      </c>
      <c r="G92" s="125" t="s">
        <v>296</v>
      </c>
      <c r="H92" s="135" t="s">
        <v>1293</v>
      </c>
      <c r="I92" s="121"/>
    </row>
    <row r="93" ht="15.75" customHeight="1">
      <c r="A93" s="121"/>
      <c r="B93" s="162" t="s">
        <v>1190</v>
      </c>
      <c r="C93" s="158">
        <v>9.0</v>
      </c>
      <c r="D93" s="159" t="b">
        <v>1</v>
      </c>
      <c r="E93" s="160">
        <v>938467.0</v>
      </c>
      <c r="F93" s="149" t="s">
        <v>1228</v>
      </c>
      <c r="G93" s="150" t="s">
        <v>1229</v>
      </c>
      <c r="H93" s="135" t="s">
        <v>1294</v>
      </c>
      <c r="I93" s="121"/>
    </row>
    <row r="94" ht="15.75" customHeight="1">
      <c r="A94" s="121"/>
      <c r="B94" s="162" t="s">
        <v>1190</v>
      </c>
      <c r="C94" s="158" t="s">
        <v>24</v>
      </c>
      <c r="D94" s="159" t="b">
        <v>1</v>
      </c>
      <c r="E94" s="160">
        <v>938468.0</v>
      </c>
      <c r="F94" s="149" t="s">
        <v>397</v>
      </c>
      <c r="G94" s="125" t="s">
        <v>1191</v>
      </c>
      <c r="H94" s="135" t="s">
        <v>1295</v>
      </c>
      <c r="I94" s="121"/>
    </row>
    <row r="95" ht="15.75" customHeight="1">
      <c r="A95" s="121"/>
      <c r="B95" s="162" t="s">
        <v>1190</v>
      </c>
      <c r="C95" s="158" t="s">
        <v>24</v>
      </c>
      <c r="D95" s="159" t="b">
        <v>1</v>
      </c>
      <c r="E95" s="160">
        <v>938469.0</v>
      </c>
      <c r="F95" s="161" t="s">
        <v>397</v>
      </c>
      <c r="G95" s="125" t="s">
        <v>1191</v>
      </c>
      <c r="H95" s="135" t="s">
        <v>1296</v>
      </c>
      <c r="I95" s="121"/>
    </row>
    <row r="96" ht="15.75" customHeight="1">
      <c r="A96" s="121"/>
      <c r="B96" s="162" t="s">
        <v>322</v>
      </c>
      <c r="C96" s="158"/>
      <c r="D96" s="159" t="b">
        <v>1</v>
      </c>
      <c r="E96" s="160">
        <v>938558.0</v>
      </c>
      <c r="F96" s="149" t="s">
        <v>397</v>
      </c>
      <c r="G96" s="150" t="s">
        <v>1203</v>
      </c>
      <c r="H96" s="135" t="s">
        <v>1297</v>
      </c>
      <c r="I96" s="121"/>
    </row>
    <row r="97" ht="15.75" customHeight="1">
      <c r="A97" s="121"/>
      <c r="B97" s="162" t="s">
        <v>322</v>
      </c>
      <c r="C97" s="158"/>
      <c r="D97" s="159" t="b">
        <v>1</v>
      </c>
      <c r="E97" s="160">
        <v>938559.0</v>
      </c>
      <c r="F97" s="149" t="s">
        <v>397</v>
      </c>
      <c r="G97" s="150" t="s">
        <v>1203</v>
      </c>
      <c r="H97" s="135" t="s">
        <v>1298</v>
      </c>
      <c r="I97" s="121"/>
    </row>
    <row r="98" ht="15.75" customHeight="1">
      <c r="A98" s="121"/>
      <c r="B98" s="162" t="s">
        <v>1185</v>
      </c>
      <c r="C98" s="158">
        <v>9.0</v>
      </c>
      <c r="D98" s="159" t="b">
        <v>1</v>
      </c>
      <c r="E98" s="160">
        <v>938598.0</v>
      </c>
      <c r="F98" s="152" t="s">
        <v>543</v>
      </c>
      <c r="G98" s="125" t="s">
        <v>296</v>
      </c>
      <c r="H98" s="135" t="s">
        <v>1299</v>
      </c>
      <c r="I98" s="121"/>
    </row>
    <row r="99" ht="15.75" customHeight="1">
      <c r="A99" s="121"/>
      <c r="B99" s="157" t="s">
        <v>1241</v>
      </c>
      <c r="C99" s="158">
        <v>9.0</v>
      </c>
      <c r="D99" s="159" t="b">
        <v>1</v>
      </c>
      <c r="E99" s="160">
        <v>938602.0</v>
      </c>
      <c r="F99" s="152" t="s">
        <v>543</v>
      </c>
      <c r="G99" s="125" t="s">
        <v>296</v>
      </c>
      <c r="H99" s="135" t="s">
        <v>1300</v>
      </c>
      <c r="I99" s="121"/>
    </row>
    <row r="100" ht="15.75" customHeight="1">
      <c r="A100" s="121"/>
      <c r="B100" s="162" t="s">
        <v>1185</v>
      </c>
      <c r="C100" s="158">
        <v>9.0</v>
      </c>
      <c r="D100" s="159" t="b">
        <v>1</v>
      </c>
      <c r="E100" s="160">
        <v>938604.0</v>
      </c>
      <c r="F100" s="152" t="s">
        <v>543</v>
      </c>
      <c r="G100" s="125" t="s">
        <v>296</v>
      </c>
      <c r="H100" s="135" t="s">
        <v>1301</v>
      </c>
      <c r="I100" s="121"/>
    </row>
    <row r="101" ht="15.75" customHeight="1">
      <c r="A101" s="121"/>
      <c r="B101" s="162" t="s">
        <v>322</v>
      </c>
      <c r="C101" s="158">
        <v>9.0</v>
      </c>
      <c r="D101" s="159" t="b">
        <v>1</v>
      </c>
      <c r="E101" s="160">
        <v>938605.0</v>
      </c>
      <c r="F101" s="149" t="s">
        <v>397</v>
      </c>
      <c r="G101" s="150" t="s">
        <v>1193</v>
      </c>
      <c r="H101" s="135" t="s">
        <v>1302</v>
      </c>
      <c r="I101" s="121"/>
    </row>
    <row r="102" ht="15.75" customHeight="1">
      <c r="A102" s="121"/>
      <c r="B102" s="162" t="s">
        <v>1190</v>
      </c>
      <c r="C102" s="158">
        <v>10.0</v>
      </c>
      <c r="D102" s="159" t="b">
        <v>1</v>
      </c>
      <c r="E102" s="160">
        <v>938660.0</v>
      </c>
      <c r="F102" s="161" t="s">
        <v>1303</v>
      </c>
      <c r="G102" s="125" t="s">
        <v>296</v>
      </c>
      <c r="H102" s="135" t="s">
        <v>1304</v>
      </c>
      <c r="I102" s="121"/>
    </row>
    <row r="103" ht="15.75" customHeight="1">
      <c r="A103" s="121"/>
      <c r="B103" s="157" t="s">
        <v>302</v>
      </c>
      <c r="C103" s="158">
        <v>9.0</v>
      </c>
      <c r="D103" s="159" t="b">
        <v>1</v>
      </c>
      <c r="E103" s="160">
        <v>938662.0</v>
      </c>
      <c r="F103" s="161" t="s">
        <v>1232</v>
      </c>
      <c r="G103" s="125" t="s">
        <v>296</v>
      </c>
      <c r="H103" s="135" t="s">
        <v>1305</v>
      </c>
      <c r="I103" s="121"/>
    </row>
    <row r="104" ht="15.75" customHeight="1">
      <c r="A104" s="121"/>
      <c r="B104" s="162" t="s">
        <v>1306</v>
      </c>
      <c r="C104" s="158">
        <v>10.0</v>
      </c>
      <c r="D104" s="159" t="b">
        <v>1</v>
      </c>
      <c r="E104" s="160">
        <v>938663.0</v>
      </c>
      <c r="F104" s="161" t="s">
        <v>1228</v>
      </c>
      <c r="G104" s="150" t="s">
        <v>1229</v>
      </c>
      <c r="H104" s="135" t="s">
        <v>1307</v>
      </c>
      <c r="I104" s="121"/>
    </row>
    <row r="105" ht="15.75" customHeight="1">
      <c r="A105" s="121"/>
      <c r="B105" s="162" t="s">
        <v>1190</v>
      </c>
      <c r="C105" s="158" t="s">
        <v>24</v>
      </c>
      <c r="D105" s="159" t="b">
        <v>1</v>
      </c>
      <c r="E105" s="160">
        <v>938664.0</v>
      </c>
      <c r="F105" s="161" t="s">
        <v>397</v>
      </c>
      <c r="G105" s="125" t="s">
        <v>1191</v>
      </c>
      <c r="H105" s="135" t="s">
        <v>1308</v>
      </c>
      <c r="I105" s="121"/>
    </row>
    <row r="106" ht="15.75" customHeight="1">
      <c r="A106" s="121"/>
      <c r="B106" s="162" t="s">
        <v>1190</v>
      </c>
      <c r="C106" s="158" t="s">
        <v>24</v>
      </c>
      <c r="D106" s="159" t="b">
        <v>1</v>
      </c>
      <c r="E106" s="160">
        <v>938665.0</v>
      </c>
      <c r="F106" s="161" t="s">
        <v>397</v>
      </c>
      <c r="G106" s="125" t="s">
        <v>1191</v>
      </c>
      <c r="H106" s="135" t="s">
        <v>1309</v>
      </c>
      <c r="I106" s="121"/>
    </row>
    <row r="107" ht="15.75" customHeight="1">
      <c r="A107" s="121"/>
      <c r="B107" s="162" t="s">
        <v>1190</v>
      </c>
      <c r="C107" s="158" t="s">
        <v>24</v>
      </c>
      <c r="D107" s="159" t="b">
        <v>1</v>
      </c>
      <c r="E107" s="160">
        <v>938666.0</v>
      </c>
      <c r="F107" s="149" t="s">
        <v>397</v>
      </c>
      <c r="G107" s="125" t="s">
        <v>1191</v>
      </c>
      <c r="H107" s="135" t="s">
        <v>1310</v>
      </c>
      <c r="I107" s="121"/>
    </row>
    <row r="108" ht="15.75" customHeight="1">
      <c r="A108" s="121"/>
      <c r="B108" s="157" t="s">
        <v>286</v>
      </c>
      <c r="C108" s="158">
        <v>10.0</v>
      </c>
      <c r="D108" s="159" t="b">
        <v>1</v>
      </c>
      <c r="E108" s="160">
        <v>938741.0</v>
      </c>
      <c r="F108" s="149" t="s">
        <v>1228</v>
      </c>
      <c r="G108" s="150" t="s">
        <v>1229</v>
      </c>
      <c r="H108" s="135" t="s">
        <v>1311</v>
      </c>
      <c r="I108" s="121"/>
    </row>
    <row r="109" ht="15.75" customHeight="1">
      <c r="A109" s="121"/>
      <c r="B109" s="157" t="s">
        <v>302</v>
      </c>
      <c r="C109" s="158">
        <v>10.0</v>
      </c>
      <c r="D109" s="159" t="b">
        <v>1</v>
      </c>
      <c r="E109" s="160">
        <v>938948.0</v>
      </c>
      <c r="F109" s="149" t="s">
        <v>1232</v>
      </c>
      <c r="G109" s="125" t="s">
        <v>296</v>
      </c>
      <c r="H109" s="135" t="s">
        <v>1312</v>
      </c>
      <c r="I109" s="121"/>
    </row>
    <row r="110" ht="15.75" customHeight="1">
      <c r="A110" s="121"/>
      <c r="B110" s="157" t="s">
        <v>1241</v>
      </c>
      <c r="C110" s="165"/>
      <c r="D110" s="159" t="b">
        <v>1</v>
      </c>
      <c r="E110" s="160">
        <v>939219.0</v>
      </c>
      <c r="F110" s="152" t="s">
        <v>543</v>
      </c>
      <c r="G110" s="125" t="s">
        <v>296</v>
      </c>
      <c r="H110" s="135" t="s">
        <v>1313</v>
      </c>
      <c r="I110" s="121"/>
    </row>
    <row r="111" ht="15.75" customHeight="1">
      <c r="A111" s="121"/>
      <c r="B111" s="162" t="s">
        <v>322</v>
      </c>
      <c r="C111" s="165"/>
      <c r="D111" s="166" t="b">
        <v>0</v>
      </c>
      <c r="E111" s="160">
        <v>939266.0</v>
      </c>
      <c r="F111" s="149" t="s">
        <v>1228</v>
      </c>
      <c r="G111" s="150" t="s">
        <v>1229</v>
      </c>
      <c r="H111" s="135" t="s">
        <v>1314</v>
      </c>
      <c r="I111" s="121"/>
    </row>
    <row r="112" ht="15.75" customHeight="1">
      <c r="A112" s="121"/>
      <c r="B112" s="162" t="s">
        <v>322</v>
      </c>
      <c r="C112" s="165"/>
      <c r="D112" s="166" t="b">
        <v>0</v>
      </c>
      <c r="E112" s="160">
        <v>939267.0</v>
      </c>
      <c r="F112" s="149" t="s">
        <v>1228</v>
      </c>
      <c r="G112" s="150" t="s">
        <v>1229</v>
      </c>
      <c r="H112" s="135" t="s">
        <v>1315</v>
      </c>
      <c r="I112" s="121"/>
    </row>
    <row r="113" ht="15.75" customHeight="1">
      <c r="A113" s="121"/>
      <c r="B113" s="162" t="s">
        <v>322</v>
      </c>
      <c r="C113" s="165"/>
      <c r="D113" s="166" t="b">
        <v>0</v>
      </c>
      <c r="E113" s="160">
        <v>939268.0</v>
      </c>
      <c r="F113" s="149" t="s">
        <v>1228</v>
      </c>
      <c r="G113" s="150" t="s">
        <v>1229</v>
      </c>
      <c r="H113" s="135" t="s">
        <v>1316</v>
      </c>
      <c r="I113" s="121"/>
    </row>
    <row r="114" ht="15.75" customHeight="1">
      <c r="A114" s="121"/>
      <c r="B114" s="162" t="s">
        <v>322</v>
      </c>
      <c r="C114" s="165"/>
      <c r="D114" s="166" t="b">
        <v>0</v>
      </c>
      <c r="E114" s="160">
        <v>939378.0</v>
      </c>
      <c r="F114" s="152" t="s">
        <v>1225</v>
      </c>
      <c r="G114" s="125" t="s">
        <v>1317</v>
      </c>
      <c r="H114" s="135" t="s">
        <v>1318</v>
      </c>
      <c r="I114" s="121"/>
    </row>
    <row r="115" ht="15.75" customHeight="1">
      <c r="A115" s="121"/>
      <c r="B115" s="162" t="s">
        <v>302</v>
      </c>
      <c r="C115" s="165"/>
      <c r="D115" s="166" t="b">
        <v>0</v>
      </c>
      <c r="E115" s="160">
        <v>939480.0</v>
      </c>
      <c r="F115" s="152" t="s">
        <v>1232</v>
      </c>
      <c r="G115" s="125" t="s">
        <v>296</v>
      </c>
      <c r="H115" s="135" t="s">
        <v>1319</v>
      </c>
      <c r="I115" s="121"/>
    </row>
    <row r="116" ht="15.75" customHeight="1">
      <c r="A116" s="121"/>
      <c r="B116" s="162" t="s">
        <v>302</v>
      </c>
      <c r="C116" s="165"/>
      <c r="D116" s="166" t="b">
        <v>0</v>
      </c>
      <c r="E116" s="160">
        <v>939481.0</v>
      </c>
      <c r="F116" s="152" t="s">
        <v>1232</v>
      </c>
      <c r="G116" s="125" t="s">
        <v>296</v>
      </c>
      <c r="H116" s="135" t="s">
        <v>1320</v>
      </c>
      <c r="I116" s="121"/>
    </row>
    <row r="117" ht="15.75" customHeight="1">
      <c r="A117" s="121"/>
      <c r="B117" s="162" t="s">
        <v>322</v>
      </c>
      <c r="C117" s="165"/>
      <c r="D117" s="166" t="b">
        <v>0</v>
      </c>
      <c r="E117" s="160">
        <v>939614.0</v>
      </c>
      <c r="F117" s="152" t="s">
        <v>1271</v>
      </c>
      <c r="G117" s="125" t="s">
        <v>296</v>
      </c>
      <c r="H117" s="135" t="s">
        <v>1321</v>
      </c>
      <c r="I117" s="121"/>
    </row>
    <row r="118" ht="15.75" customHeight="1">
      <c r="A118" s="121"/>
      <c r="B118" s="162" t="s">
        <v>322</v>
      </c>
      <c r="C118" s="165"/>
      <c r="D118" s="166" t="b">
        <v>0</v>
      </c>
      <c r="E118" s="160">
        <v>939615.0</v>
      </c>
      <c r="F118" s="149" t="s">
        <v>1228</v>
      </c>
      <c r="G118" s="150" t="s">
        <v>1229</v>
      </c>
      <c r="H118" s="135" t="s">
        <v>1322</v>
      </c>
      <c r="I118" s="121"/>
    </row>
    <row r="119" ht="15.75" customHeight="1">
      <c r="A119" s="121"/>
      <c r="B119" s="162" t="s">
        <v>322</v>
      </c>
      <c r="C119" s="165"/>
      <c r="D119" s="166" t="b">
        <v>0</v>
      </c>
      <c r="E119" s="160">
        <v>939618.0</v>
      </c>
      <c r="F119" s="152" t="s">
        <v>1271</v>
      </c>
      <c r="G119" s="125" t="s">
        <v>296</v>
      </c>
      <c r="H119" s="135" t="s">
        <v>1323</v>
      </c>
      <c r="I119" s="121"/>
    </row>
    <row r="120" ht="15.75" customHeight="1">
      <c r="A120" s="121"/>
      <c r="B120" s="162" t="s">
        <v>322</v>
      </c>
      <c r="C120" s="165"/>
      <c r="D120" s="166" t="b">
        <v>0</v>
      </c>
      <c r="E120" s="160">
        <v>939619.0</v>
      </c>
      <c r="F120" s="149" t="s">
        <v>1228</v>
      </c>
      <c r="G120" s="150" t="s">
        <v>1229</v>
      </c>
      <c r="H120" s="135" t="s">
        <v>1324</v>
      </c>
      <c r="I120" s="121"/>
    </row>
    <row r="121" ht="15.75" customHeight="1">
      <c r="A121" s="121"/>
      <c r="B121" s="162" t="s">
        <v>1185</v>
      </c>
      <c r="C121" s="165"/>
      <c r="D121" s="166" t="b">
        <v>0</v>
      </c>
      <c r="E121" s="160">
        <v>939659.0</v>
      </c>
      <c r="F121" s="152" t="s">
        <v>543</v>
      </c>
      <c r="G121" s="125" t="s">
        <v>296</v>
      </c>
      <c r="H121" s="135" t="s">
        <v>1325</v>
      </c>
      <c r="I121" s="121"/>
    </row>
    <row r="122" ht="15.75" customHeight="1">
      <c r="A122" s="121"/>
      <c r="B122" s="157" t="s">
        <v>1185</v>
      </c>
      <c r="C122" s="158"/>
      <c r="D122" s="159" t="b">
        <v>0</v>
      </c>
      <c r="E122" s="160">
        <v>939972.0</v>
      </c>
      <c r="F122" s="152" t="s">
        <v>1280</v>
      </c>
      <c r="G122" s="125" t="s">
        <v>296</v>
      </c>
      <c r="H122" s="135" t="s">
        <v>1326</v>
      </c>
      <c r="I122" s="121"/>
    </row>
    <row r="123" ht="15.75" customHeight="1">
      <c r="A123" s="121"/>
      <c r="B123" s="162" t="s">
        <v>286</v>
      </c>
      <c r="C123" s="158">
        <v>13.0</v>
      </c>
      <c r="D123" s="159" t="b">
        <v>1</v>
      </c>
      <c r="E123" s="160">
        <v>940192.0</v>
      </c>
      <c r="F123" s="152" t="s">
        <v>543</v>
      </c>
      <c r="G123" s="125" t="s">
        <v>296</v>
      </c>
      <c r="H123" s="135" t="s">
        <v>1327</v>
      </c>
      <c r="I123" s="121"/>
    </row>
    <row r="124" ht="15.75" customHeight="1">
      <c r="A124" s="121"/>
      <c r="B124" s="162" t="s">
        <v>1190</v>
      </c>
      <c r="C124" s="158" t="s">
        <v>24</v>
      </c>
      <c r="D124" s="159" t="b">
        <v>1</v>
      </c>
      <c r="E124" s="160">
        <v>940193.0</v>
      </c>
      <c r="F124" s="161" t="s">
        <v>397</v>
      </c>
      <c r="G124" s="150" t="s">
        <v>1278</v>
      </c>
      <c r="H124" s="135" t="s">
        <v>1328</v>
      </c>
      <c r="I124" s="121"/>
    </row>
    <row r="125" ht="15.75" customHeight="1">
      <c r="A125" s="121"/>
      <c r="B125" s="162" t="s">
        <v>1245</v>
      </c>
      <c r="C125" s="158">
        <v>14.0</v>
      </c>
      <c r="D125" s="159" t="b">
        <v>1</v>
      </c>
      <c r="E125" s="160">
        <v>940306.0</v>
      </c>
      <c r="F125" s="161" t="s">
        <v>1280</v>
      </c>
      <c r="G125" s="125" t="s">
        <v>296</v>
      </c>
      <c r="H125" s="135" t="s">
        <v>1329</v>
      </c>
      <c r="I125" s="121"/>
    </row>
    <row r="126" ht="15.75" customHeight="1">
      <c r="A126" s="121"/>
      <c r="B126" s="162" t="s">
        <v>286</v>
      </c>
      <c r="C126" s="158"/>
      <c r="D126" s="159" t="b">
        <v>1</v>
      </c>
      <c r="E126" s="160">
        <v>940329.0</v>
      </c>
      <c r="F126" s="152" t="s">
        <v>543</v>
      </c>
      <c r="G126" s="125" t="s">
        <v>296</v>
      </c>
      <c r="H126" s="135" t="s">
        <v>1330</v>
      </c>
      <c r="I126" s="121"/>
    </row>
    <row r="127" ht="15.75" customHeight="1">
      <c r="A127" s="121"/>
      <c r="B127" s="157" t="s">
        <v>1190</v>
      </c>
      <c r="C127" s="158">
        <v>14.0</v>
      </c>
      <c r="D127" s="159" t="b">
        <v>1</v>
      </c>
      <c r="E127" s="160">
        <v>940330.0</v>
      </c>
      <c r="F127" s="149" t="s">
        <v>1232</v>
      </c>
      <c r="G127" s="150"/>
      <c r="H127" s="135" t="s">
        <v>1331</v>
      </c>
      <c r="I127" s="121"/>
    </row>
    <row r="128" ht="15.75" customHeight="1">
      <c r="A128" s="121"/>
      <c r="B128" s="162" t="s">
        <v>1185</v>
      </c>
      <c r="C128" s="158">
        <v>14.0</v>
      </c>
      <c r="D128" s="159" t="b">
        <v>1</v>
      </c>
      <c r="E128" s="160">
        <v>940370.0</v>
      </c>
      <c r="F128" s="152" t="s">
        <v>543</v>
      </c>
      <c r="G128" s="125" t="s">
        <v>296</v>
      </c>
      <c r="H128" s="135" t="s">
        <v>1332</v>
      </c>
      <c r="I128" s="121"/>
    </row>
    <row r="129" ht="15.75" customHeight="1">
      <c r="A129" s="121"/>
      <c r="B129" s="157" t="s">
        <v>1241</v>
      </c>
      <c r="C129" s="158">
        <v>14.0</v>
      </c>
      <c r="D129" s="159" t="b">
        <v>1</v>
      </c>
      <c r="E129" s="160">
        <v>940409.0</v>
      </c>
      <c r="F129" s="152" t="s">
        <v>543</v>
      </c>
      <c r="G129" s="125" t="s">
        <v>296</v>
      </c>
      <c r="H129" s="135" t="s">
        <v>1333</v>
      </c>
      <c r="I129" s="121"/>
    </row>
    <row r="130" ht="15.75" customHeight="1">
      <c r="A130" s="121"/>
      <c r="B130" s="157" t="s">
        <v>1235</v>
      </c>
      <c r="C130" s="158">
        <v>15.0</v>
      </c>
      <c r="D130" s="159" t="b">
        <v>1</v>
      </c>
      <c r="E130" s="160">
        <v>940424.0</v>
      </c>
      <c r="F130" s="152" t="s">
        <v>543</v>
      </c>
      <c r="G130" s="125" t="s">
        <v>296</v>
      </c>
      <c r="H130" s="135" t="s">
        <v>1334</v>
      </c>
      <c r="I130" s="121"/>
    </row>
    <row r="131" ht="15.75" customHeight="1">
      <c r="A131" s="121"/>
      <c r="B131" s="162" t="s">
        <v>1252</v>
      </c>
      <c r="C131" s="158">
        <v>16.0</v>
      </c>
      <c r="D131" s="159" t="b">
        <v>1</v>
      </c>
      <c r="E131" s="160">
        <v>940657.0</v>
      </c>
      <c r="F131" s="161" t="s">
        <v>1228</v>
      </c>
      <c r="G131" s="150" t="s">
        <v>1229</v>
      </c>
      <c r="H131" s="135" t="s">
        <v>1335</v>
      </c>
      <c r="I131" s="121"/>
    </row>
    <row r="132" ht="15.75" customHeight="1">
      <c r="A132" s="121"/>
      <c r="B132" s="157" t="s">
        <v>302</v>
      </c>
      <c r="C132" s="158">
        <v>16.0</v>
      </c>
      <c r="D132" s="159" t="b">
        <v>1</v>
      </c>
      <c r="E132" s="160">
        <v>940715.0</v>
      </c>
      <c r="F132" s="161" t="s">
        <v>1232</v>
      </c>
      <c r="G132" s="125" t="s">
        <v>296</v>
      </c>
      <c r="H132" s="135" t="s">
        <v>1336</v>
      </c>
      <c r="I132" s="121"/>
    </row>
    <row r="133" ht="15.75" customHeight="1">
      <c r="A133" s="121"/>
      <c r="B133" s="162" t="s">
        <v>286</v>
      </c>
      <c r="C133" s="158">
        <v>22.0</v>
      </c>
      <c r="D133" s="159" t="b">
        <v>1</v>
      </c>
      <c r="E133" s="160">
        <v>940716.0</v>
      </c>
      <c r="F133" s="152" t="s">
        <v>543</v>
      </c>
      <c r="G133" s="125" t="s">
        <v>296</v>
      </c>
      <c r="H133" s="135" t="s">
        <v>1337</v>
      </c>
      <c r="I133" s="121"/>
    </row>
    <row r="134" ht="15.75" customHeight="1">
      <c r="A134" s="121"/>
      <c r="B134" s="157" t="s">
        <v>1241</v>
      </c>
      <c r="C134" s="158">
        <v>22.0</v>
      </c>
      <c r="D134" s="159" t="b">
        <v>1</v>
      </c>
      <c r="E134" s="160">
        <v>940738.0</v>
      </c>
      <c r="F134" s="152" t="s">
        <v>543</v>
      </c>
      <c r="G134" s="125" t="s">
        <v>296</v>
      </c>
      <c r="H134" s="135" t="s">
        <v>1338</v>
      </c>
      <c r="I134" s="121"/>
    </row>
    <row r="135" ht="15.75" customHeight="1">
      <c r="A135" s="121"/>
      <c r="B135" s="162" t="s">
        <v>322</v>
      </c>
      <c r="C135" s="165"/>
      <c r="D135" s="166" t="b">
        <v>0</v>
      </c>
      <c r="E135" s="160">
        <v>940739.0</v>
      </c>
      <c r="F135" s="161" t="s">
        <v>1271</v>
      </c>
      <c r="G135" s="125" t="s">
        <v>296</v>
      </c>
      <c r="H135" s="135" t="s">
        <v>1339</v>
      </c>
      <c r="I135" s="121"/>
    </row>
    <row r="136" ht="15.75" customHeight="1">
      <c r="A136" s="121"/>
      <c r="B136" s="157" t="s">
        <v>1241</v>
      </c>
      <c r="C136" s="158">
        <v>22.0</v>
      </c>
      <c r="D136" s="159" t="b">
        <v>1</v>
      </c>
      <c r="E136" s="160">
        <v>940740.0</v>
      </c>
      <c r="F136" s="152" t="s">
        <v>543</v>
      </c>
      <c r="G136" s="125" t="s">
        <v>296</v>
      </c>
      <c r="H136" s="135" t="s">
        <v>1340</v>
      </c>
      <c r="I136" s="121"/>
    </row>
    <row r="137" ht="15.75" customHeight="1">
      <c r="A137" s="121"/>
      <c r="B137" s="157" t="s">
        <v>1185</v>
      </c>
      <c r="C137" s="165"/>
      <c r="D137" s="159" t="b">
        <v>1</v>
      </c>
      <c r="E137" s="160">
        <v>940741.0</v>
      </c>
      <c r="F137" s="152" t="s">
        <v>543</v>
      </c>
      <c r="G137" s="125" t="s">
        <v>296</v>
      </c>
      <c r="H137" s="135" t="s">
        <v>1341</v>
      </c>
      <c r="I137" s="121"/>
    </row>
    <row r="138" ht="15.75" customHeight="1">
      <c r="A138" s="121"/>
      <c r="B138" s="162" t="s">
        <v>322</v>
      </c>
      <c r="C138" s="165"/>
      <c r="D138" s="166" t="b">
        <v>0</v>
      </c>
      <c r="E138" s="160">
        <v>940742.0</v>
      </c>
      <c r="F138" s="161" t="s">
        <v>1271</v>
      </c>
      <c r="G138" s="125" t="s">
        <v>296</v>
      </c>
      <c r="H138" s="135" t="s">
        <v>1342</v>
      </c>
      <c r="I138" s="121"/>
    </row>
    <row r="139" ht="15.75" customHeight="1">
      <c r="A139" s="121"/>
      <c r="B139" s="157" t="s">
        <v>1185</v>
      </c>
      <c r="C139" s="158">
        <v>22.0</v>
      </c>
      <c r="D139" s="159" t="b">
        <v>1</v>
      </c>
      <c r="E139" s="160">
        <v>940743.0</v>
      </c>
      <c r="F139" s="161" t="s">
        <v>1271</v>
      </c>
      <c r="G139" s="125" t="s">
        <v>296</v>
      </c>
      <c r="H139" s="135" t="s">
        <v>1343</v>
      </c>
      <c r="I139" s="121"/>
    </row>
    <row r="140" ht="15.75" customHeight="1">
      <c r="A140" s="121"/>
      <c r="B140" s="162" t="s">
        <v>322</v>
      </c>
      <c r="C140" s="165"/>
      <c r="D140" s="166" t="b">
        <v>0</v>
      </c>
      <c r="E140" s="160">
        <v>940744.0</v>
      </c>
      <c r="F140" s="161" t="s">
        <v>1271</v>
      </c>
      <c r="G140" s="125" t="s">
        <v>296</v>
      </c>
      <c r="H140" s="135" t="s">
        <v>1344</v>
      </c>
      <c r="I140" s="121"/>
    </row>
    <row r="141" ht="15.75" customHeight="1">
      <c r="A141" s="121"/>
      <c r="B141" s="157" t="s">
        <v>1241</v>
      </c>
      <c r="C141" s="158">
        <v>22.0</v>
      </c>
      <c r="D141" s="159" t="b">
        <v>1</v>
      </c>
      <c r="E141" s="160">
        <v>940745.0</v>
      </c>
      <c r="F141" s="152" t="s">
        <v>543</v>
      </c>
      <c r="G141" s="125" t="s">
        <v>296</v>
      </c>
      <c r="H141" s="135" t="s">
        <v>1345</v>
      </c>
      <c r="I141" s="121"/>
    </row>
    <row r="142" ht="15.75" customHeight="1">
      <c r="A142" s="121"/>
      <c r="B142" s="157" t="s">
        <v>1241</v>
      </c>
      <c r="C142" s="158">
        <v>22.0</v>
      </c>
      <c r="D142" s="159" t="b">
        <v>1</v>
      </c>
      <c r="E142" s="160">
        <v>940746.0</v>
      </c>
      <c r="F142" s="152" t="s">
        <v>543</v>
      </c>
      <c r="G142" s="125" t="s">
        <v>296</v>
      </c>
      <c r="H142" s="135" t="s">
        <v>1346</v>
      </c>
      <c r="I142" s="121"/>
    </row>
    <row r="143" ht="15.75" customHeight="1">
      <c r="A143" s="121"/>
      <c r="B143" s="162" t="s">
        <v>322</v>
      </c>
      <c r="C143" s="165"/>
      <c r="D143" s="159" t="b">
        <v>1</v>
      </c>
      <c r="E143" s="160">
        <v>940930.0</v>
      </c>
      <c r="F143" s="161" t="s">
        <v>1271</v>
      </c>
      <c r="G143" s="125" t="s">
        <v>296</v>
      </c>
      <c r="H143" s="135" t="s">
        <v>1347</v>
      </c>
      <c r="I143" s="121"/>
    </row>
    <row r="144" ht="15.75" customHeight="1">
      <c r="A144" s="121"/>
      <c r="B144" s="162" t="s">
        <v>322</v>
      </c>
      <c r="C144" s="165"/>
      <c r="D144" s="159" t="b">
        <v>1</v>
      </c>
      <c r="E144" s="160">
        <v>940931.0</v>
      </c>
      <c r="F144" s="152" t="s">
        <v>1271</v>
      </c>
      <c r="G144" s="125" t="s">
        <v>296</v>
      </c>
      <c r="H144" s="135" t="s">
        <v>1348</v>
      </c>
      <c r="I144" s="121"/>
    </row>
    <row r="145" ht="15.75" customHeight="1">
      <c r="A145" s="121"/>
      <c r="B145" s="162" t="s">
        <v>322</v>
      </c>
      <c r="C145" s="158">
        <v>23.0</v>
      </c>
      <c r="D145" s="159" t="b">
        <v>0</v>
      </c>
      <c r="E145" s="160">
        <v>940932.0</v>
      </c>
      <c r="F145" s="152" t="s">
        <v>1271</v>
      </c>
      <c r="G145" s="125" t="s">
        <v>296</v>
      </c>
      <c r="H145" s="135" t="s">
        <v>1349</v>
      </c>
      <c r="I145" s="121"/>
    </row>
    <row r="146" ht="15.75" customHeight="1">
      <c r="A146" s="121"/>
      <c r="B146" s="162" t="s">
        <v>322</v>
      </c>
      <c r="C146" s="165"/>
      <c r="D146" s="159" t="b">
        <v>1</v>
      </c>
      <c r="E146" s="160"/>
      <c r="F146" s="152" t="s">
        <v>1271</v>
      </c>
      <c r="G146" s="125" t="s">
        <v>296</v>
      </c>
      <c r="H146" s="135" t="s">
        <v>1350</v>
      </c>
      <c r="I146" s="121"/>
    </row>
    <row r="147" ht="15.75" customHeight="1">
      <c r="A147" s="121"/>
      <c r="B147" s="162" t="s">
        <v>1185</v>
      </c>
      <c r="C147" s="158">
        <v>18.0</v>
      </c>
      <c r="D147" s="159" t="b">
        <v>1</v>
      </c>
      <c r="E147" s="160">
        <v>940989.0</v>
      </c>
      <c r="F147" s="152" t="s">
        <v>543</v>
      </c>
      <c r="G147" s="125" t="s">
        <v>296</v>
      </c>
      <c r="H147" s="135" t="s">
        <v>1351</v>
      </c>
      <c r="I147" s="121"/>
    </row>
    <row r="148" ht="15.75" customHeight="1">
      <c r="A148" s="121"/>
      <c r="B148" s="162" t="s">
        <v>1235</v>
      </c>
      <c r="C148" s="158">
        <v>18.0</v>
      </c>
      <c r="D148" s="159" t="b">
        <v>1</v>
      </c>
      <c r="E148" s="160">
        <v>941005.0</v>
      </c>
      <c r="F148" s="152" t="s">
        <v>543</v>
      </c>
      <c r="G148" s="125" t="s">
        <v>296</v>
      </c>
      <c r="H148" s="135" t="s">
        <v>1352</v>
      </c>
      <c r="I148" s="121"/>
    </row>
    <row r="149" ht="15.75" customHeight="1">
      <c r="A149" s="121"/>
      <c r="B149" s="162" t="s">
        <v>1190</v>
      </c>
      <c r="C149" s="158" t="s">
        <v>24</v>
      </c>
      <c r="D149" s="159" t="b">
        <v>1</v>
      </c>
      <c r="E149" s="160">
        <v>941030.0</v>
      </c>
      <c r="F149" s="149" t="s">
        <v>397</v>
      </c>
      <c r="G149" s="150" t="s">
        <v>1199</v>
      </c>
      <c r="H149" s="135" t="s">
        <v>1353</v>
      </c>
      <c r="I149" s="121"/>
    </row>
    <row r="150" ht="15.75" customHeight="1">
      <c r="A150" s="121"/>
      <c r="B150" s="157" t="s">
        <v>322</v>
      </c>
      <c r="C150" s="158">
        <v>18.0</v>
      </c>
      <c r="D150" s="159" t="b">
        <v>1</v>
      </c>
      <c r="E150" s="160">
        <v>941078.0</v>
      </c>
      <c r="F150" s="161" t="s">
        <v>543</v>
      </c>
      <c r="G150" s="125" t="s">
        <v>296</v>
      </c>
      <c r="H150" s="135" t="s">
        <v>1354</v>
      </c>
      <c r="I150" s="121"/>
    </row>
    <row r="151" ht="15.75" customHeight="1">
      <c r="A151" s="121"/>
      <c r="B151" s="162" t="s">
        <v>322</v>
      </c>
      <c r="C151" s="158">
        <v>18.0</v>
      </c>
      <c r="D151" s="159" t="b">
        <v>1</v>
      </c>
      <c r="E151" s="160">
        <v>941085.0</v>
      </c>
      <c r="F151" s="152" t="s">
        <v>1271</v>
      </c>
      <c r="G151" s="125" t="s">
        <v>296</v>
      </c>
      <c r="H151" s="135" t="s">
        <v>1355</v>
      </c>
      <c r="I151" s="121"/>
    </row>
    <row r="152" ht="15.75" customHeight="1">
      <c r="A152" s="121"/>
      <c r="B152" s="162" t="s">
        <v>1185</v>
      </c>
      <c r="C152" s="158">
        <v>18.0</v>
      </c>
      <c r="D152" s="159" t="b">
        <v>1</v>
      </c>
      <c r="E152" s="160">
        <v>941133.0</v>
      </c>
      <c r="F152" s="152" t="s">
        <v>543</v>
      </c>
      <c r="G152" s="125" t="s">
        <v>296</v>
      </c>
      <c r="H152" s="135" t="s">
        <v>1356</v>
      </c>
      <c r="I152" s="121"/>
    </row>
    <row r="153" ht="15.75" customHeight="1">
      <c r="A153" s="121"/>
      <c r="B153" s="162" t="s">
        <v>322</v>
      </c>
      <c r="C153" s="165"/>
      <c r="D153" s="159" t="b">
        <v>1</v>
      </c>
      <c r="E153" s="160">
        <v>941332.0</v>
      </c>
      <c r="F153" s="152" t="s">
        <v>1271</v>
      </c>
      <c r="G153" s="125" t="s">
        <v>296</v>
      </c>
      <c r="H153" s="135" t="s">
        <v>1357</v>
      </c>
      <c r="I153" s="121"/>
    </row>
    <row r="154" ht="15.75" customHeight="1">
      <c r="A154" s="121"/>
      <c r="B154" s="162" t="s">
        <v>322</v>
      </c>
      <c r="C154" s="165"/>
      <c r="D154" s="159"/>
      <c r="E154" s="160">
        <v>941333.0</v>
      </c>
      <c r="F154" s="152" t="s">
        <v>1271</v>
      </c>
      <c r="G154" s="125" t="s">
        <v>296</v>
      </c>
      <c r="H154" s="135" t="s">
        <v>1358</v>
      </c>
      <c r="I154" s="121"/>
    </row>
    <row r="155" ht="15.75" customHeight="1">
      <c r="A155" s="121"/>
      <c r="B155" s="162" t="s">
        <v>1185</v>
      </c>
      <c r="C155" s="165"/>
      <c r="D155" s="159" t="b">
        <v>1</v>
      </c>
      <c r="E155" s="160">
        <v>941477.0</v>
      </c>
      <c r="F155" s="152" t="s">
        <v>543</v>
      </c>
      <c r="G155" s="125" t="s">
        <v>296</v>
      </c>
      <c r="H155" s="135" t="s">
        <v>1359</v>
      </c>
      <c r="I155" s="121"/>
    </row>
    <row r="156" ht="15.75" customHeight="1">
      <c r="A156" s="121"/>
      <c r="B156" s="162" t="s">
        <v>322</v>
      </c>
      <c r="C156" s="165"/>
      <c r="D156" s="166" t="b">
        <v>0</v>
      </c>
      <c r="E156" s="160">
        <v>941763.0</v>
      </c>
      <c r="F156" s="152" t="s">
        <v>1271</v>
      </c>
      <c r="G156" s="125" t="s">
        <v>296</v>
      </c>
      <c r="H156" s="135" t="s">
        <v>1360</v>
      </c>
      <c r="I156" s="121"/>
    </row>
    <row r="157" ht="15.75" customHeight="1">
      <c r="A157" s="121"/>
      <c r="B157" s="162" t="s">
        <v>322</v>
      </c>
      <c r="C157" s="165"/>
      <c r="D157" s="166" t="b">
        <v>0</v>
      </c>
      <c r="E157" s="160">
        <v>941764.0</v>
      </c>
      <c r="F157" s="152" t="s">
        <v>1271</v>
      </c>
      <c r="G157" s="125" t="s">
        <v>296</v>
      </c>
      <c r="H157" s="135" t="s">
        <v>1361</v>
      </c>
      <c r="I157" s="121"/>
    </row>
    <row r="158" ht="15.75" customHeight="1">
      <c r="A158" s="121"/>
      <c r="B158" s="162" t="s">
        <v>322</v>
      </c>
      <c r="C158" s="165"/>
      <c r="D158" s="159" t="b">
        <v>1</v>
      </c>
      <c r="E158" s="160">
        <v>941765.0</v>
      </c>
      <c r="F158" s="149" t="s">
        <v>1228</v>
      </c>
      <c r="G158" s="150" t="s">
        <v>1229</v>
      </c>
      <c r="H158" s="135" t="s">
        <v>1362</v>
      </c>
      <c r="I158" s="121"/>
    </row>
    <row r="159" ht="15.75" customHeight="1">
      <c r="A159" s="121"/>
      <c r="B159" s="162" t="s">
        <v>322</v>
      </c>
      <c r="C159" s="158">
        <v>23.0</v>
      </c>
      <c r="D159" s="166" t="b">
        <v>0</v>
      </c>
      <c r="E159" s="160">
        <v>941766.0</v>
      </c>
      <c r="F159" s="149" t="s">
        <v>1228</v>
      </c>
      <c r="G159" s="150" t="s">
        <v>1229</v>
      </c>
      <c r="H159" s="135" t="s">
        <v>1363</v>
      </c>
      <c r="I159" s="121"/>
    </row>
    <row r="160" ht="15.75" customHeight="1">
      <c r="A160" s="121"/>
      <c r="B160" s="162" t="s">
        <v>322</v>
      </c>
      <c r="C160" s="165"/>
      <c r="D160" s="166" t="b">
        <v>0</v>
      </c>
      <c r="E160" s="160">
        <v>941767.0</v>
      </c>
      <c r="F160" s="149" t="s">
        <v>1228</v>
      </c>
      <c r="G160" s="150" t="s">
        <v>1229</v>
      </c>
      <c r="H160" s="135" t="s">
        <v>1364</v>
      </c>
      <c r="I160" s="121"/>
    </row>
    <row r="161" ht="15.75" customHeight="1">
      <c r="A161" s="121"/>
      <c r="B161" s="162" t="s">
        <v>322</v>
      </c>
      <c r="C161" s="158">
        <v>23.0</v>
      </c>
      <c r="D161" s="166" t="b">
        <v>0</v>
      </c>
      <c r="E161" s="160">
        <v>941851.0</v>
      </c>
      <c r="F161" s="152" t="s">
        <v>1271</v>
      </c>
      <c r="G161" s="125" t="s">
        <v>296</v>
      </c>
      <c r="H161" s="135" t="s">
        <v>1365</v>
      </c>
      <c r="I161" s="121"/>
    </row>
    <row r="162" ht="15.75" customHeight="1">
      <c r="A162" s="121"/>
      <c r="B162" s="157" t="s">
        <v>1366</v>
      </c>
      <c r="C162" s="158">
        <v>23.0</v>
      </c>
      <c r="D162" s="159" t="b">
        <v>1</v>
      </c>
      <c r="E162" s="160">
        <v>941871.0</v>
      </c>
      <c r="F162" s="152" t="s">
        <v>543</v>
      </c>
      <c r="G162" s="125" t="s">
        <v>1317</v>
      </c>
      <c r="H162" s="135" t="s">
        <v>1367</v>
      </c>
      <c r="I162" s="121"/>
    </row>
    <row r="163" ht="15.75" customHeight="1">
      <c r="A163" s="121"/>
      <c r="B163" s="157" t="s">
        <v>1368</v>
      </c>
      <c r="C163" s="158">
        <v>23.0</v>
      </c>
      <c r="D163" s="159" t="b">
        <v>1</v>
      </c>
      <c r="E163" s="160">
        <v>941872.0</v>
      </c>
      <c r="F163" s="152" t="s">
        <v>543</v>
      </c>
      <c r="G163" s="125" t="s">
        <v>1317</v>
      </c>
      <c r="H163" s="135" t="s">
        <v>1369</v>
      </c>
      <c r="I163" s="121"/>
    </row>
    <row r="164" ht="15.75" customHeight="1">
      <c r="A164" s="121"/>
      <c r="B164" s="157" t="s">
        <v>286</v>
      </c>
      <c r="C164" s="158">
        <v>27.0</v>
      </c>
      <c r="D164" s="159" t="b">
        <v>1</v>
      </c>
      <c r="E164" s="160">
        <v>942025.0</v>
      </c>
      <c r="F164" s="152" t="s">
        <v>543</v>
      </c>
      <c r="G164" s="125" t="s">
        <v>296</v>
      </c>
      <c r="H164" s="135" t="s">
        <v>1370</v>
      </c>
      <c r="I164" s="121"/>
    </row>
    <row r="165" ht="15.75" customHeight="1">
      <c r="A165" s="121"/>
      <c r="B165" s="157" t="s">
        <v>322</v>
      </c>
      <c r="C165" s="158">
        <v>32.0</v>
      </c>
      <c r="D165" s="166" t="b">
        <v>0</v>
      </c>
      <c r="E165" s="160">
        <v>942026.0</v>
      </c>
      <c r="F165" s="152" t="s">
        <v>1280</v>
      </c>
      <c r="G165" s="125" t="s">
        <v>296</v>
      </c>
      <c r="H165" s="135" t="s">
        <v>1371</v>
      </c>
      <c r="I165" s="121"/>
    </row>
    <row r="166" ht="15.75" customHeight="1">
      <c r="A166" s="121"/>
      <c r="B166" s="162" t="s">
        <v>1185</v>
      </c>
      <c r="C166" s="158">
        <v>27.0</v>
      </c>
      <c r="D166" s="159" t="b">
        <v>1</v>
      </c>
      <c r="E166" s="160">
        <v>942182.0</v>
      </c>
      <c r="F166" s="152" t="s">
        <v>543</v>
      </c>
      <c r="G166" s="125" t="s">
        <v>296</v>
      </c>
      <c r="H166" s="135" t="s">
        <v>1372</v>
      </c>
      <c r="I166" s="121"/>
    </row>
    <row r="167" ht="15.75" customHeight="1">
      <c r="A167" s="121"/>
      <c r="B167" s="162" t="s">
        <v>322</v>
      </c>
      <c r="C167" s="165"/>
      <c r="D167" s="166" t="b">
        <v>0</v>
      </c>
      <c r="E167" s="160">
        <v>942446.0</v>
      </c>
      <c r="F167" s="152" t="s">
        <v>1271</v>
      </c>
      <c r="G167" s="125" t="s">
        <v>296</v>
      </c>
      <c r="H167" s="135" t="s">
        <v>1373</v>
      </c>
      <c r="I167" s="121"/>
    </row>
    <row r="168" ht="15.75" customHeight="1">
      <c r="A168" s="121"/>
      <c r="B168" s="162" t="s">
        <v>1306</v>
      </c>
      <c r="C168" s="158">
        <v>29.0</v>
      </c>
      <c r="D168" s="159" t="b">
        <v>1</v>
      </c>
      <c r="E168" s="160">
        <v>942714.0</v>
      </c>
      <c r="F168" s="161" t="s">
        <v>543</v>
      </c>
      <c r="G168" s="125" t="s">
        <v>296</v>
      </c>
      <c r="H168" s="135" t="s">
        <v>1374</v>
      </c>
      <c r="I168" s="121"/>
    </row>
    <row r="169" ht="15.75" customHeight="1">
      <c r="A169" s="121"/>
      <c r="B169" s="162" t="s">
        <v>322</v>
      </c>
      <c r="C169" s="158">
        <v>27.0</v>
      </c>
      <c r="D169" s="166" t="b">
        <v>0</v>
      </c>
      <c r="E169" s="160">
        <v>942715.0</v>
      </c>
      <c r="F169" s="152" t="s">
        <v>1271</v>
      </c>
      <c r="G169" s="125" t="s">
        <v>296</v>
      </c>
      <c r="H169" s="135" t="s">
        <v>1375</v>
      </c>
      <c r="I169" s="121"/>
    </row>
    <row r="170" ht="15.75" customHeight="1">
      <c r="A170" s="121"/>
      <c r="B170" s="162" t="s">
        <v>322</v>
      </c>
      <c r="C170" s="158">
        <v>32.0</v>
      </c>
      <c r="D170" s="166" t="b">
        <v>0</v>
      </c>
      <c r="E170" s="160">
        <v>942716.0</v>
      </c>
      <c r="F170" s="149" t="s">
        <v>1228</v>
      </c>
      <c r="G170" s="150" t="s">
        <v>1229</v>
      </c>
      <c r="H170" s="135" t="s">
        <v>1376</v>
      </c>
      <c r="I170" s="121"/>
    </row>
    <row r="171" ht="15.75" customHeight="1">
      <c r="A171" s="121"/>
      <c r="B171" s="162" t="s">
        <v>322</v>
      </c>
      <c r="C171" s="158">
        <v>29.0</v>
      </c>
      <c r="D171" s="166" t="b">
        <v>0</v>
      </c>
      <c r="E171" s="160">
        <v>942717.0</v>
      </c>
      <c r="F171" s="149" t="s">
        <v>1228</v>
      </c>
      <c r="G171" s="150" t="s">
        <v>1229</v>
      </c>
      <c r="H171" s="135" t="s">
        <v>1377</v>
      </c>
      <c r="I171" s="121"/>
    </row>
    <row r="172" ht="15.75" customHeight="1">
      <c r="A172" s="121"/>
      <c r="B172" s="162" t="s">
        <v>1190</v>
      </c>
      <c r="C172" s="158" t="s">
        <v>24</v>
      </c>
      <c r="D172" s="159" t="b">
        <v>1</v>
      </c>
      <c r="E172" s="160">
        <v>942718.0</v>
      </c>
      <c r="F172" s="149" t="s">
        <v>397</v>
      </c>
      <c r="G172" s="125" t="s">
        <v>1191</v>
      </c>
      <c r="H172" s="135" t="s">
        <v>1378</v>
      </c>
      <c r="I172" s="121"/>
    </row>
    <row r="173" ht="15.75" customHeight="1">
      <c r="A173" s="121"/>
      <c r="B173" s="162" t="s">
        <v>1190</v>
      </c>
      <c r="C173" s="158" t="s">
        <v>24</v>
      </c>
      <c r="D173" s="159" t="b">
        <v>1</v>
      </c>
      <c r="E173" s="160">
        <v>942719.0</v>
      </c>
      <c r="F173" s="149" t="s">
        <v>397</v>
      </c>
      <c r="G173" s="125" t="s">
        <v>1191</v>
      </c>
      <c r="H173" s="135" t="s">
        <v>1379</v>
      </c>
      <c r="I173" s="121"/>
    </row>
    <row r="174" ht="15.75" customHeight="1">
      <c r="A174" s="121"/>
      <c r="B174" s="162" t="s">
        <v>1190</v>
      </c>
      <c r="C174" s="158" t="s">
        <v>24</v>
      </c>
      <c r="D174" s="159" t="b">
        <v>1</v>
      </c>
      <c r="E174" s="160">
        <v>942720.0</v>
      </c>
      <c r="F174" s="149" t="s">
        <v>397</v>
      </c>
      <c r="G174" s="125" t="s">
        <v>1191</v>
      </c>
      <c r="H174" s="135" t="s">
        <v>1380</v>
      </c>
      <c r="I174" s="121"/>
    </row>
    <row r="175" ht="15.75" customHeight="1">
      <c r="A175" s="121"/>
      <c r="B175" s="162" t="s">
        <v>1190</v>
      </c>
      <c r="C175" s="158" t="s">
        <v>24</v>
      </c>
      <c r="D175" s="159" t="b">
        <v>1</v>
      </c>
      <c r="E175" s="160">
        <v>942721.0</v>
      </c>
      <c r="F175" s="149" t="s">
        <v>397</v>
      </c>
      <c r="G175" s="125" t="s">
        <v>1191</v>
      </c>
      <c r="H175" s="135" t="s">
        <v>1381</v>
      </c>
      <c r="I175" s="121"/>
    </row>
    <row r="176" ht="15.75" customHeight="1">
      <c r="A176" s="121"/>
      <c r="B176" s="162" t="s">
        <v>1190</v>
      </c>
      <c r="C176" s="158" t="s">
        <v>24</v>
      </c>
      <c r="D176" s="159" t="b">
        <v>1</v>
      </c>
      <c r="E176" s="160">
        <v>942722.0</v>
      </c>
      <c r="F176" s="149" t="s">
        <v>397</v>
      </c>
      <c r="G176" s="125" t="s">
        <v>1191</v>
      </c>
      <c r="H176" s="135" t="s">
        <v>1382</v>
      </c>
      <c r="I176" s="121"/>
    </row>
    <row r="177" ht="15.75" customHeight="1">
      <c r="A177" s="121"/>
      <c r="B177" s="162" t="s">
        <v>1190</v>
      </c>
      <c r="C177" s="158" t="s">
        <v>24</v>
      </c>
      <c r="D177" s="159" t="b">
        <v>1</v>
      </c>
      <c r="E177" s="160">
        <v>942723.0</v>
      </c>
      <c r="F177" s="161" t="s">
        <v>397</v>
      </c>
      <c r="G177" s="125" t="s">
        <v>1191</v>
      </c>
      <c r="H177" s="135" t="s">
        <v>1383</v>
      </c>
      <c r="I177" s="121"/>
    </row>
    <row r="178" ht="15.75" customHeight="1">
      <c r="A178" s="121"/>
      <c r="B178" s="162" t="s">
        <v>1190</v>
      </c>
      <c r="C178" s="158" t="s">
        <v>24</v>
      </c>
      <c r="D178" s="159" t="b">
        <v>1</v>
      </c>
      <c r="E178" s="160">
        <v>942724.0</v>
      </c>
      <c r="F178" s="161" t="s">
        <v>397</v>
      </c>
      <c r="G178" s="125" t="s">
        <v>1191</v>
      </c>
      <c r="H178" s="135" t="s">
        <v>1384</v>
      </c>
      <c r="I178" s="121"/>
    </row>
    <row r="179" ht="15.75" customHeight="1">
      <c r="A179" s="121"/>
      <c r="B179" s="162" t="s">
        <v>1190</v>
      </c>
      <c r="C179" s="158" t="s">
        <v>24</v>
      </c>
      <c r="D179" s="159" t="b">
        <v>1</v>
      </c>
      <c r="E179" s="160">
        <v>942725.0</v>
      </c>
      <c r="F179" s="161" t="s">
        <v>397</v>
      </c>
      <c r="G179" s="125" t="s">
        <v>1191</v>
      </c>
      <c r="H179" s="135" t="s">
        <v>1385</v>
      </c>
      <c r="I179" s="121"/>
    </row>
    <row r="180" ht="15.75" customHeight="1">
      <c r="A180" s="121"/>
      <c r="B180" s="162" t="s">
        <v>1190</v>
      </c>
      <c r="C180" s="158" t="s">
        <v>24</v>
      </c>
      <c r="D180" s="159" t="b">
        <v>1</v>
      </c>
      <c r="E180" s="160">
        <v>942726.0</v>
      </c>
      <c r="F180" s="161" t="s">
        <v>397</v>
      </c>
      <c r="G180" s="125" t="s">
        <v>1191</v>
      </c>
      <c r="H180" s="135" t="s">
        <v>1386</v>
      </c>
      <c r="I180" s="121"/>
    </row>
    <row r="181" ht="15.75" customHeight="1">
      <c r="A181" s="121"/>
      <c r="B181" s="162" t="s">
        <v>1190</v>
      </c>
      <c r="C181" s="158" t="s">
        <v>24</v>
      </c>
      <c r="D181" s="159" t="b">
        <v>1</v>
      </c>
      <c r="E181" s="160">
        <v>942777.0</v>
      </c>
      <c r="F181" s="161" t="s">
        <v>397</v>
      </c>
      <c r="G181" s="125" t="s">
        <v>1387</v>
      </c>
      <c r="H181" s="135" t="s">
        <v>1388</v>
      </c>
      <c r="I181" s="121"/>
    </row>
    <row r="182" ht="15.75" customHeight="1">
      <c r="A182" s="121"/>
      <c r="B182" s="157" t="s">
        <v>302</v>
      </c>
      <c r="C182" s="158">
        <v>32.0</v>
      </c>
      <c r="D182" s="159" t="b">
        <v>1</v>
      </c>
      <c r="E182" s="160">
        <v>942778.0</v>
      </c>
      <c r="F182" s="149" t="s">
        <v>1228</v>
      </c>
      <c r="G182" s="150" t="s">
        <v>1229</v>
      </c>
      <c r="H182" s="135" t="s">
        <v>1389</v>
      </c>
      <c r="I182" s="121"/>
    </row>
    <row r="183" ht="15.75" customHeight="1">
      <c r="A183" s="121"/>
      <c r="B183" s="162" t="s">
        <v>1390</v>
      </c>
      <c r="C183" s="158">
        <v>26.0</v>
      </c>
      <c r="D183" s="159" t="b">
        <v>1</v>
      </c>
      <c r="E183" s="160">
        <v>942793.0</v>
      </c>
      <c r="F183" s="152" t="s">
        <v>543</v>
      </c>
      <c r="G183" s="125" t="s">
        <v>296</v>
      </c>
      <c r="H183" s="135" t="s">
        <v>1391</v>
      </c>
      <c r="I183" s="121"/>
    </row>
    <row r="184" ht="15.75" customHeight="1">
      <c r="A184" s="121"/>
      <c r="B184" s="157" t="s">
        <v>322</v>
      </c>
      <c r="C184" s="158">
        <v>26.0</v>
      </c>
      <c r="D184" s="166" t="b">
        <v>0</v>
      </c>
      <c r="E184" s="160">
        <v>942890.0</v>
      </c>
      <c r="F184" s="152" t="s">
        <v>1232</v>
      </c>
      <c r="G184" s="125" t="s">
        <v>296</v>
      </c>
      <c r="H184" s="135" t="s">
        <v>1392</v>
      </c>
      <c r="I184" s="121"/>
    </row>
    <row r="185" ht="15.75" customHeight="1">
      <c r="A185" s="121"/>
      <c r="B185" s="162" t="s">
        <v>322</v>
      </c>
      <c r="C185" s="158">
        <v>32.0</v>
      </c>
      <c r="D185" s="166" t="b">
        <v>0</v>
      </c>
      <c r="E185" s="160">
        <v>942891.0</v>
      </c>
      <c r="F185" s="152" t="s">
        <v>1271</v>
      </c>
      <c r="G185" s="125" t="s">
        <v>296</v>
      </c>
      <c r="H185" s="135" t="s">
        <v>1393</v>
      </c>
      <c r="I185" s="121"/>
    </row>
    <row r="186" ht="15.75" customHeight="1">
      <c r="A186" s="121"/>
      <c r="B186" s="162" t="s">
        <v>1190</v>
      </c>
      <c r="C186" s="158" t="s">
        <v>24</v>
      </c>
      <c r="D186" s="159" t="b">
        <v>1</v>
      </c>
      <c r="E186" s="160">
        <v>943009.0</v>
      </c>
      <c r="F186" s="152" t="s">
        <v>397</v>
      </c>
      <c r="G186" s="125" t="s">
        <v>1387</v>
      </c>
      <c r="H186" s="135" t="s">
        <v>1394</v>
      </c>
      <c r="I186" s="121"/>
    </row>
    <row r="187" ht="15.75" customHeight="1">
      <c r="A187" s="121"/>
      <c r="B187" s="162" t="s">
        <v>1190</v>
      </c>
      <c r="C187" s="158" t="s">
        <v>24</v>
      </c>
      <c r="D187" s="159" t="b">
        <v>1</v>
      </c>
      <c r="E187" s="160">
        <v>943010.0</v>
      </c>
      <c r="F187" s="152" t="s">
        <v>397</v>
      </c>
      <c r="G187" s="125" t="s">
        <v>1387</v>
      </c>
      <c r="H187" s="135" t="s">
        <v>1395</v>
      </c>
      <c r="I187" s="121"/>
    </row>
    <row r="188" ht="15.75" customHeight="1">
      <c r="A188" s="121"/>
      <c r="B188" s="162" t="s">
        <v>1190</v>
      </c>
      <c r="C188" s="158" t="s">
        <v>24</v>
      </c>
      <c r="D188" s="159" t="b">
        <v>1</v>
      </c>
      <c r="E188" s="160">
        <v>943011.0</v>
      </c>
      <c r="F188" s="152" t="s">
        <v>397</v>
      </c>
      <c r="G188" s="125" t="s">
        <v>1387</v>
      </c>
      <c r="H188" s="135" t="s">
        <v>1396</v>
      </c>
      <c r="I188" s="121"/>
    </row>
    <row r="189" ht="15.75" customHeight="1">
      <c r="A189" s="121"/>
      <c r="B189" s="162" t="s">
        <v>1235</v>
      </c>
      <c r="C189" s="158">
        <v>26.0</v>
      </c>
      <c r="D189" s="166" t="b">
        <v>0</v>
      </c>
      <c r="E189" s="160">
        <v>943012.0</v>
      </c>
      <c r="F189" s="152" t="s">
        <v>543</v>
      </c>
      <c r="G189" s="125" t="s">
        <v>296</v>
      </c>
      <c r="H189" s="135" t="s">
        <v>1397</v>
      </c>
      <c r="I189" s="121"/>
    </row>
    <row r="190" ht="15.75" customHeight="1">
      <c r="A190" s="121"/>
      <c r="B190" s="162" t="s">
        <v>1235</v>
      </c>
      <c r="C190" s="158">
        <v>31.0</v>
      </c>
      <c r="D190" s="166" t="b">
        <v>0</v>
      </c>
      <c r="E190" s="160">
        <v>943013.0</v>
      </c>
      <c r="F190" s="152" t="s">
        <v>1398</v>
      </c>
      <c r="G190" s="125" t="s">
        <v>296</v>
      </c>
      <c r="H190" s="135" t="s">
        <v>1399</v>
      </c>
      <c r="I190" s="121"/>
    </row>
    <row r="191" ht="15.75" customHeight="1">
      <c r="A191" s="121"/>
      <c r="B191" s="162" t="s">
        <v>1235</v>
      </c>
      <c r="C191" s="158">
        <v>32.0</v>
      </c>
      <c r="D191" s="166" t="b">
        <v>0</v>
      </c>
      <c r="E191" s="160">
        <v>943014.0</v>
      </c>
      <c r="F191" s="152" t="s">
        <v>1398</v>
      </c>
      <c r="G191" s="125" t="s">
        <v>296</v>
      </c>
      <c r="H191" s="135" t="s">
        <v>1400</v>
      </c>
      <c r="I191" s="121"/>
    </row>
    <row r="192" ht="15.75" customHeight="1">
      <c r="A192" s="121"/>
      <c r="B192" s="162" t="s">
        <v>322</v>
      </c>
      <c r="C192" s="158">
        <v>26.0</v>
      </c>
      <c r="D192" s="166" t="b">
        <v>0</v>
      </c>
      <c r="E192" s="160">
        <v>943015.0</v>
      </c>
      <c r="F192" s="152" t="s">
        <v>1232</v>
      </c>
      <c r="G192" s="125" t="s">
        <v>296</v>
      </c>
      <c r="H192" s="135" t="s">
        <v>1401</v>
      </c>
      <c r="I192" s="121"/>
    </row>
    <row r="193" ht="15.75" customHeight="1">
      <c r="A193" s="121"/>
      <c r="B193" s="162" t="s">
        <v>1190</v>
      </c>
      <c r="C193" s="158" t="s">
        <v>24</v>
      </c>
      <c r="D193" s="159" t="b">
        <v>1</v>
      </c>
      <c r="E193" s="160">
        <v>943066.0</v>
      </c>
      <c r="F193" s="152" t="s">
        <v>397</v>
      </c>
      <c r="G193" s="125" t="s">
        <v>1191</v>
      </c>
      <c r="H193" s="135" t="s">
        <v>1402</v>
      </c>
      <c r="I193" s="121"/>
    </row>
    <row r="194" ht="15.75" customHeight="1">
      <c r="A194" s="121"/>
      <c r="B194" s="157" t="s">
        <v>1185</v>
      </c>
      <c r="C194" s="158">
        <v>26.0</v>
      </c>
      <c r="D194" s="159" t="b">
        <v>1</v>
      </c>
      <c r="E194" s="160">
        <v>943207.0</v>
      </c>
      <c r="F194" s="152" t="s">
        <v>543</v>
      </c>
      <c r="G194" s="125" t="s">
        <v>296</v>
      </c>
      <c r="H194" s="135" t="s">
        <v>1403</v>
      </c>
      <c r="I194" s="121"/>
    </row>
    <row r="195" ht="15.75" customHeight="1">
      <c r="A195" s="121"/>
      <c r="B195" s="162" t="s">
        <v>1190</v>
      </c>
      <c r="C195" s="158">
        <v>25.0</v>
      </c>
      <c r="D195" s="159" t="b">
        <v>1</v>
      </c>
      <c r="E195" s="160">
        <v>943241.0</v>
      </c>
      <c r="F195" s="161" t="s">
        <v>1196</v>
      </c>
      <c r="G195" s="125" t="s">
        <v>296</v>
      </c>
      <c r="H195" s="135" t="s">
        <v>1404</v>
      </c>
      <c r="I195" s="121"/>
    </row>
    <row r="196" ht="15.75" customHeight="1">
      <c r="A196" s="121"/>
      <c r="B196" s="162" t="s">
        <v>1235</v>
      </c>
      <c r="C196" s="158">
        <v>25.0</v>
      </c>
      <c r="D196" s="159" t="b">
        <v>1</v>
      </c>
      <c r="E196" s="160">
        <v>943328.0</v>
      </c>
      <c r="F196" s="161" t="s">
        <v>1228</v>
      </c>
      <c r="G196" s="150" t="s">
        <v>1229</v>
      </c>
      <c r="H196" s="135" t="s">
        <v>1405</v>
      </c>
      <c r="I196" s="121"/>
    </row>
    <row r="197" ht="15.75" customHeight="1">
      <c r="A197" s="121"/>
      <c r="B197" s="162" t="s">
        <v>1406</v>
      </c>
      <c r="C197" s="158">
        <v>26.0</v>
      </c>
      <c r="D197" s="159" t="b">
        <v>1</v>
      </c>
      <c r="E197" s="160">
        <v>943329.0</v>
      </c>
      <c r="F197" s="161" t="s">
        <v>1228</v>
      </c>
      <c r="G197" s="150" t="s">
        <v>1229</v>
      </c>
      <c r="H197" s="135" t="s">
        <v>1407</v>
      </c>
      <c r="I197" s="121"/>
    </row>
    <row r="198" ht="15.75" customHeight="1">
      <c r="A198" s="121"/>
      <c r="B198" s="162" t="s">
        <v>1406</v>
      </c>
      <c r="C198" s="158">
        <v>25.0</v>
      </c>
      <c r="D198" s="159" t="b">
        <v>1</v>
      </c>
      <c r="E198" s="160">
        <v>943330.0</v>
      </c>
      <c r="F198" s="161" t="s">
        <v>1228</v>
      </c>
      <c r="G198" s="150" t="s">
        <v>1229</v>
      </c>
      <c r="H198" s="135" t="s">
        <v>1408</v>
      </c>
      <c r="I198" s="121"/>
    </row>
    <row r="199" ht="15.75" customHeight="1">
      <c r="A199" s="121"/>
      <c r="B199" s="162" t="s">
        <v>286</v>
      </c>
      <c r="C199" s="158">
        <v>24.0</v>
      </c>
      <c r="D199" s="159" t="b">
        <v>1</v>
      </c>
      <c r="E199" s="160">
        <v>943331.0</v>
      </c>
      <c r="F199" s="161" t="s">
        <v>1228</v>
      </c>
      <c r="G199" s="150" t="s">
        <v>1229</v>
      </c>
      <c r="H199" s="135" t="s">
        <v>1409</v>
      </c>
      <c r="I199" s="121"/>
    </row>
    <row r="200" ht="15.75" customHeight="1">
      <c r="A200" s="121"/>
      <c r="B200" s="162" t="s">
        <v>286</v>
      </c>
      <c r="C200" s="158">
        <v>25.0</v>
      </c>
      <c r="D200" s="159" t="b">
        <v>1</v>
      </c>
      <c r="E200" s="160">
        <v>943332.0</v>
      </c>
      <c r="F200" s="161" t="s">
        <v>1228</v>
      </c>
      <c r="G200" s="150" t="s">
        <v>1229</v>
      </c>
      <c r="H200" s="135" t="s">
        <v>1410</v>
      </c>
      <c r="I200" s="121"/>
    </row>
    <row r="201" ht="15.75" customHeight="1">
      <c r="A201" s="121"/>
      <c r="B201" s="162" t="s">
        <v>1185</v>
      </c>
      <c r="C201" s="158">
        <v>24.0</v>
      </c>
      <c r="D201" s="166" t="b">
        <v>0</v>
      </c>
      <c r="E201" s="160">
        <v>943333.0</v>
      </c>
      <c r="F201" s="161" t="s">
        <v>1228</v>
      </c>
      <c r="G201" s="150" t="s">
        <v>1229</v>
      </c>
      <c r="H201" s="135" t="s">
        <v>1411</v>
      </c>
      <c r="I201" s="121"/>
    </row>
    <row r="202" ht="15.75" customHeight="1">
      <c r="A202" s="121"/>
      <c r="B202" s="157" t="s">
        <v>1241</v>
      </c>
      <c r="C202" s="158">
        <v>27.0</v>
      </c>
      <c r="D202" s="159" t="b">
        <v>1</v>
      </c>
      <c r="E202" s="160">
        <v>943339.0</v>
      </c>
      <c r="F202" s="152" t="s">
        <v>543</v>
      </c>
      <c r="G202" s="125" t="s">
        <v>296</v>
      </c>
      <c r="H202" s="135" t="s">
        <v>1412</v>
      </c>
      <c r="I202" s="121"/>
    </row>
    <row r="203" ht="15.75" customHeight="1">
      <c r="A203" s="121"/>
      <c r="B203" s="162" t="s">
        <v>1413</v>
      </c>
      <c r="C203" s="158">
        <v>25.0</v>
      </c>
      <c r="D203" s="159" t="b">
        <v>1</v>
      </c>
      <c r="E203" s="160">
        <v>943340.0</v>
      </c>
      <c r="F203" s="152" t="s">
        <v>543</v>
      </c>
      <c r="G203" s="125" t="s">
        <v>296</v>
      </c>
      <c r="H203" s="135" t="s">
        <v>1414</v>
      </c>
      <c r="I203" s="121"/>
    </row>
    <row r="204" ht="15.75" customHeight="1">
      <c r="A204" s="121"/>
      <c r="B204" s="162" t="s">
        <v>286</v>
      </c>
      <c r="C204" s="158">
        <v>24.0</v>
      </c>
      <c r="D204" s="159" t="b">
        <v>1</v>
      </c>
      <c r="E204" s="160">
        <v>943341.0</v>
      </c>
      <c r="F204" s="152" t="s">
        <v>543</v>
      </c>
      <c r="G204" s="125" t="s">
        <v>296</v>
      </c>
      <c r="H204" s="135" t="s">
        <v>1415</v>
      </c>
      <c r="I204" s="121"/>
    </row>
    <row r="205" ht="15.75" customHeight="1">
      <c r="A205" s="121"/>
      <c r="B205" s="162" t="s">
        <v>1185</v>
      </c>
      <c r="C205" s="158">
        <v>27.0</v>
      </c>
      <c r="D205" s="159" t="b">
        <v>1</v>
      </c>
      <c r="E205" s="160">
        <v>943342.0</v>
      </c>
      <c r="F205" s="152" t="s">
        <v>543</v>
      </c>
      <c r="G205" s="125" t="s">
        <v>296</v>
      </c>
      <c r="H205" s="135" t="s">
        <v>1416</v>
      </c>
      <c r="I205" s="121"/>
    </row>
    <row r="206" ht="15.75" customHeight="1">
      <c r="A206" s="121"/>
      <c r="B206" s="157" t="s">
        <v>1406</v>
      </c>
      <c r="C206" s="158">
        <v>25.0</v>
      </c>
      <c r="D206" s="159" t="b">
        <v>1</v>
      </c>
      <c r="E206" s="160">
        <v>943343.0</v>
      </c>
      <c r="F206" s="152" t="s">
        <v>543</v>
      </c>
      <c r="G206" s="125" t="s">
        <v>296</v>
      </c>
      <c r="H206" s="135" t="s">
        <v>1417</v>
      </c>
      <c r="I206" s="121"/>
    </row>
    <row r="207" ht="15.75" customHeight="1">
      <c r="A207" s="121"/>
      <c r="B207" s="162" t="s">
        <v>322</v>
      </c>
      <c r="C207" s="158">
        <v>24.0</v>
      </c>
      <c r="D207" s="159" t="b">
        <v>1</v>
      </c>
      <c r="E207" s="160">
        <v>943344.0</v>
      </c>
      <c r="F207" s="149" t="s">
        <v>397</v>
      </c>
      <c r="G207" s="150" t="s">
        <v>1193</v>
      </c>
      <c r="H207" s="135" t="s">
        <v>1418</v>
      </c>
      <c r="I207" s="121"/>
    </row>
    <row r="208" ht="15.75" customHeight="1">
      <c r="A208" s="121"/>
      <c r="B208" s="162" t="s">
        <v>322</v>
      </c>
      <c r="C208" s="158">
        <v>27.0</v>
      </c>
      <c r="D208" s="166" t="b">
        <v>0</v>
      </c>
      <c r="E208" s="160">
        <v>943346.0</v>
      </c>
      <c r="F208" s="152" t="s">
        <v>1271</v>
      </c>
      <c r="G208" s="125" t="s">
        <v>296</v>
      </c>
      <c r="H208" s="135" t="s">
        <v>1419</v>
      </c>
      <c r="I208" s="121"/>
    </row>
    <row r="209" ht="15.75" customHeight="1">
      <c r="A209" s="121"/>
      <c r="B209" s="162" t="s">
        <v>1406</v>
      </c>
      <c r="C209" s="158">
        <v>25.0</v>
      </c>
      <c r="D209" s="159" t="b">
        <v>1</v>
      </c>
      <c r="E209" s="160">
        <v>943347.0</v>
      </c>
      <c r="F209" s="152" t="s">
        <v>543</v>
      </c>
      <c r="G209" s="125" t="s">
        <v>296</v>
      </c>
      <c r="H209" s="135" t="s">
        <v>1420</v>
      </c>
      <c r="I209" s="121"/>
    </row>
    <row r="210" ht="15.75" customHeight="1">
      <c r="A210" s="121"/>
      <c r="B210" s="157" t="s">
        <v>1406</v>
      </c>
      <c r="C210" s="158">
        <v>24.0</v>
      </c>
      <c r="D210" s="159" t="b">
        <v>1</v>
      </c>
      <c r="E210" s="160">
        <v>943348.0</v>
      </c>
      <c r="F210" s="152" t="s">
        <v>543</v>
      </c>
      <c r="G210" s="125" t="s">
        <v>296</v>
      </c>
      <c r="H210" s="135" t="s">
        <v>1421</v>
      </c>
      <c r="I210" s="121"/>
    </row>
    <row r="211" ht="15.75" customHeight="1">
      <c r="A211" s="121"/>
      <c r="B211" s="162" t="s">
        <v>1406</v>
      </c>
      <c r="C211" s="158">
        <v>27.0</v>
      </c>
      <c r="D211" s="159" t="b">
        <v>1</v>
      </c>
      <c r="E211" s="160">
        <v>943349.0</v>
      </c>
      <c r="F211" s="152" t="s">
        <v>543</v>
      </c>
      <c r="G211" s="125" t="s">
        <v>296</v>
      </c>
      <c r="H211" s="135" t="s">
        <v>1422</v>
      </c>
      <c r="I211" s="121"/>
    </row>
    <row r="212" ht="15.75" customHeight="1">
      <c r="A212" s="121"/>
      <c r="B212" s="162" t="s">
        <v>322</v>
      </c>
      <c r="C212" s="158">
        <v>25.0</v>
      </c>
      <c r="D212" s="166" t="b">
        <v>0</v>
      </c>
      <c r="E212" s="160">
        <v>943350.0</v>
      </c>
      <c r="F212" s="152" t="s">
        <v>1271</v>
      </c>
      <c r="G212" s="125" t="s">
        <v>296</v>
      </c>
      <c r="H212" s="135" t="s">
        <v>1423</v>
      </c>
      <c r="I212" s="121"/>
    </row>
    <row r="213" ht="15.75" customHeight="1">
      <c r="A213" s="121"/>
      <c r="B213" s="162" t="s">
        <v>322</v>
      </c>
      <c r="C213" s="158">
        <v>24.0</v>
      </c>
      <c r="D213" s="166" t="b">
        <v>0</v>
      </c>
      <c r="E213" s="160">
        <v>943351.0</v>
      </c>
      <c r="F213" s="152" t="s">
        <v>1232</v>
      </c>
      <c r="G213" s="125" t="s">
        <v>296</v>
      </c>
      <c r="H213" s="135" t="s">
        <v>1424</v>
      </c>
      <c r="I213" s="121"/>
    </row>
    <row r="214" ht="15.75" customHeight="1">
      <c r="A214" s="121"/>
      <c r="B214" s="162" t="s">
        <v>322</v>
      </c>
      <c r="C214" s="158">
        <v>27.0</v>
      </c>
      <c r="D214" s="166" t="b">
        <v>0</v>
      </c>
      <c r="E214" s="160">
        <v>943352.0</v>
      </c>
      <c r="F214" s="152" t="s">
        <v>1232</v>
      </c>
      <c r="G214" s="125" t="s">
        <v>296</v>
      </c>
      <c r="H214" s="135" t="s">
        <v>1425</v>
      </c>
      <c r="I214" s="121"/>
    </row>
    <row r="215" ht="15.75" customHeight="1">
      <c r="A215" s="121"/>
      <c r="B215" s="162" t="s">
        <v>322</v>
      </c>
      <c r="C215" s="158">
        <v>29.0</v>
      </c>
      <c r="D215" s="166" t="b">
        <v>0</v>
      </c>
      <c r="E215" s="160">
        <v>943353.0</v>
      </c>
      <c r="F215" s="152" t="s">
        <v>1232</v>
      </c>
      <c r="G215" s="125" t="s">
        <v>296</v>
      </c>
      <c r="H215" s="135" t="s">
        <v>1426</v>
      </c>
      <c r="I215" s="121"/>
    </row>
    <row r="216" ht="15.75" customHeight="1">
      <c r="A216" s="121"/>
      <c r="B216" s="162" t="s">
        <v>322</v>
      </c>
      <c r="C216" s="158">
        <v>30.0</v>
      </c>
      <c r="D216" s="166" t="b">
        <v>0</v>
      </c>
      <c r="E216" s="160">
        <v>943354.0</v>
      </c>
      <c r="F216" s="152" t="s">
        <v>1232</v>
      </c>
      <c r="G216" s="125" t="s">
        <v>296</v>
      </c>
      <c r="H216" s="135" t="s">
        <v>1427</v>
      </c>
      <c r="I216" s="121"/>
    </row>
    <row r="217" ht="15.75" customHeight="1">
      <c r="A217" s="121"/>
      <c r="B217" s="157" t="s">
        <v>1428</v>
      </c>
      <c r="C217" s="165"/>
      <c r="D217" s="166" t="b">
        <v>0</v>
      </c>
      <c r="E217" s="160">
        <v>943355.0</v>
      </c>
      <c r="F217" s="152" t="s">
        <v>1398</v>
      </c>
      <c r="G217" s="125" t="s">
        <v>296</v>
      </c>
      <c r="H217" s="135" t="s">
        <v>1429</v>
      </c>
      <c r="I217" s="121"/>
    </row>
    <row r="218" ht="15.75" customHeight="1">
      <c r="A218" s="121"/>
      <c r="B218" s="162" t="s">
        <v>322</v>
      </c>
      <c r="C218" s="158">
        <v>33.0</v>
      </c>
      <c r="D218" s="166" t="b">
        <v>0</v>
      </c>
      <c r="E218" s="160">
        <v>943422.0</v>
      </c>
      <c r="F218" s="152" t="s">
        <v>1271</v>
      </c>
      <c r="G218" s="125" t="s">
        <v>296</v>
      </c>
      <c r="H218" s="135" t="s">
        <v>1430</v>
      </c>
      <c r="I218" s="121"/>
    </row>
    <row r="219" ht="15.75" customHeight="1">
      <c r="A219" s="121"/>
      <c r="B219" s="162" t="s">
        <v>322</v>
      </c>
      <c r="C219" s="158">
        <v>31.0</v>
      </c>
      <c r="D219" s="166" t="b">
        <v>0</v>
      </c>
      <c r="E219" s="160">
        <v>943423.0</v>
      </c>
      <c r="F219" s="152" t="s">
        <v>1271</v>
      </c>
      <c r="G219" s="125" t="s">
        <v>296</v>
      </c>
      <c r="H219" s="135" t="s">
        <v>1431</v>
      </c>
      <c r="I219" s="121"/>
    </row>
    <row r="220" ht="15.75" customHeight="1">
      <c r="A220" s="121"/>
      <c r="B220" s="162" t="s">
        <v>322</v>
      </c>
      <c r="C220" s="158">
        <v>33.0</v>
      </c>
      <c r="D220" s="166" t="b">
        <v>0</v>
      </c>
      <c r="E220" s="160">
        <v>943424.0</v>
      </c>
      <c r="F220" s="152" t="s">
        <v>1271</v>
      </c>
      <c r="G220" s="125" t="s">
        <v>296</v>
      </c>
      <c r="H220" s="135" t="s">
        <v>1432</v>
      </c>
      <c r="I220" s="121"/>
    </row>
    <row r="221" ht="15.75" customHeight="1">
      <c r="A221" s="121"/>
      <c r="B221" s="162" t="s">
        <v>322</v>
      </c>
      <c r="C221" s="158">
        <v>33.0</v>
      </c>
      <c r="D221" s="159" t="b">
        <v>1</v>
      </c>
      <c r="E221" s="160">
        <v>943425.0</v>
      </c>
      <c r="F221" s="149" t="s">
        <v>397</v>
      </c>
      <c r="G221" s="150" t="s">
        <v>1193</v>
      </c>
      <c r="H221" s="135" t="s">
        <v>1433</v>
      </c>
      <c r="I221" s="121"/>
    </row>
    <row r="222" ht="15.75" customHeight="1">
      <c r="A222" s="121"/>
      <c r="B222" s="162" t="s">
        <v>322</v>
      </c>
      <c r="C222" s="158">
        <v>31.0</v>
      </c>
      <c r="D222" s="166" t="b">
        <v>0</v>
      </c>
      <c r="E222" s="160">
        <v>943426.0</v>
      </c>
      <c r="F222" s="152" t="s">
        <v>1271</v>
      </c>
      <c r="G222" s="125" t="s">
        <v>296</v>
      </c>
      <c r="H222" s="135" t="s">
        <v>1434</v>
      </c>
      <c r="I222" s="121"/>
    </row>
    <row r="223" ht="15.75" customHeight="1">
      <c r="A223" s="121"/>
      <c r="B223" s="162" t="s">
        <v>322</v>
      </c>
      <c r="C223" s="158">
        <v>33.0</v>
      </c>
      <c r="D223" s="166" t="b">
        <v>0</v>
      </c>
      <c r="E223" s="160">
        <v>943427.0</v>
      </c>
      <c r="F223" s="152" t="s">
        <v>1271</v>
      </c>
      <c r="G223" s="125" t="s">
        <v>296</v>
      </c>
      <c r="H223" s="135" t="s">
        <v>1435</v>
      </c>
      <c r="I223" s="121"/>
    </row>
    <row r="224" ht="15.75" customHeight="1">
      <c r="A224" s="121"/>
      <c r="B224" s="162" t="s">
        <v>322</v>
      </c>
      <c r="C224" s="158"/>
      <c r="D224" s="159" t="b">
        <v>1</v>
      </c>
      <c r="E224" s="160">
        <v>943482.0</v>
      </c>
      <c r="F224" s="149" t="s">
        <v>397</v>
      </c>
      <c r="G224" s="150" t="s">
        <v>1203</v>
      </c>
      <c r="H224" s="135" t="s">
        <v>1436</v>
      </c>
      <c r="I224" s="121"/>
    </row>
    <row r="225" ht="15.75" customHeight="1">
      <c r="A225" s="121"/>
      <c r="B225" s="157" t="s">
        <v>286</v>
      </c>
      <c r="C225" s="158">
        <v>31.0</v>
      </c>
      <c r="D225" s="159" t="b">
        <v>1</v>
      </c>
      <c r="E225" s="160">
        <v>943584.0</v>
      </c>
      <c r="F225" s="161" t="s">
        <v>1228</v>
      </c>
      <c r="G225" s="150" t="s">
        <v>1229</v>
      </c>
      <c r="H225" s="135" t="s">
        <v>1437</v>
      </c>
      <c r="I225" s="121"/>
    </row>
    <row r="226" ht="15.75" customHeight="1">
      <c r="A226" s="121"/>
      <c r="B226" s="157" t="s">
        <v>286</v>
      </c>
      <c r="C226" s="158">
        <v>33.0</v>
      </c>
      <c r="D226" s="159" t="b">
        <v>1</v>
      </c>
      <c r="E226" s="160">
        <v>943585.0</v>
      </c>
      <c r="F226" s="152" t="s">
        <v>543</v>
      </c>
      <c r="G226" s="125" t="s">
        <v>296</v>
      </c>
      <c r="H226" s="135" t="s">
        <v>1438</v>
      </c>
      <c r="I226" s="121"/>
    </row>
    <row r="227" ht="15.75" customHeight="1">
      <c r="A227" s="121"/>
      <c r="B227" s="162" t="s">
        <v>322</v>
      </c>
      <c r="C227" s="158">
        <v>33.0</v>
      </c>
      <c r="D227" s="159" t="b">
        <v>1</v>
      </c>
      <c r="E227" s="160">
        <v>943586.0</v>
      </c>
      <c r="F227" s="149" t="s">
        <v>397</v>
      </c>
      <c r="G227" s="150" t="s">
        <v>1193</v>
      </c>
      <c r="H227" s="135" t="s">
        <v>1439</v>
      </c>
      <c r="I227" s="121"/>
    </row>
    <row r="228" ht="15.75" customHeight="1">
      <c r="A228" s="121"/>
      <c r="B228" s="162" t="s">
        <v>1406</v>
      </c>
      <c r="C228" s="158">
        <v>31.0</v>
      </c>
      <c r="D228" s="159" t="b">
        <v>1</v>
      </c>
      <c r="E228" s="167">
        <v>943587.0</v>
      </c>
      <c r="F228" s="152" t="s">
        <v>543</v>
      </c>
      <c r="G228" s="125" t="s">
        <v>296</v>
      </c>
      <c r="H228" s="135" t="s">
        <v>1440</v>
      </c>
      <c r="I228" s="121"/>
    </row>
    <row r="229" ht="15.75" customHeight="1">
      <c r="A229" s="121"/>
      <c r="B229" s="157" t="s">
        <v>286</v>
      </c>
      <c r="C229" s="158">
        <v>33.0</v>
      </c>
      <c r="D229" s="159" t="b">
        <v>1</v>
      </c>
      <c r="E229" s="160">
        <v>943588.0</v>
      </c>
      <c r="F229" s="152" t="s">
        <v>543</v>
      </c>
      <c r="G229" s="125" t="s">
        <v>296</v>
      </c>
      <c r="H229" s="135" t="s">
        <v>1441</v>
      </c>
      <c r="I229" s="121"/>
    </row>
    <row r="230" ht="15.75" customHeight="1">
      <c r="A230" s="121"/>
      <c r="B230" s="162" t="s">
        <v>1190</v>
      </c>
      <c r="C230" s="158" t="s">
        <v>24</v>
      </c>
      <c r="D230" s="159" t="b">
        <v>1</v>
      </c>
      <c r="E230" s="160">
        <v>943589.0</v>
      </c>
      <c r="F230" s="152" t="s">
        <v>397</v>
      </c>
      <c r="G230" s="125" t="s">
        <v>1387</v>
      </c>
      <c r="H230" s="135" t="s">
        <v>1442</v>
      </c>
      <c r="I230" s="121"/>
    </row>
    <row r="231" ht="15.75" customHeight="1">
      <c r="A231" s="121"/>
      <c r="B231" s="157" t="s">
        <v>286</v>
      </c>
      <c r="C231" s="158">
        <v>33.0</v>
      </c>
      <c r="D231" s="159" t="b">
        <v>1</v>
      </c>
      <c r="E231" s="160">
        <v>943590.0</v>
      </c>
      <c r="F231" s="152" t="s">
        <v>543</v>
      </c>
      <c r="G231" s="125" t="s">
        <v>296</v>
      </c>
      <c r="H231" s="135" t="s">
        <v>1443</v>
      </c>
      <c r="I231" s="121"/>
    </row>
    <row r="232" ht="15.75" customHeight="1">
      <c r="A232" s="121"/>
      <c r="B232" s="157" t="s">
        <v>1235</v>
      </c>
      <c r="C232" s="158">
        <v>31.0</v>
      </c>
      <c r="D232" s="159" t="b">
        <v>1</v>
      </c>
      <c r="E232" s="160">
        <v>943591.0</v>
      </c>
      <c r="F232" s="152" t="s">
        <v>543</v>
      </c>
      <c r="G232" s="125" t="s">
        <v>296</v>
      </c>
      <c r="H232" s="135" t="s">
        <v>1444</v>
      </c>
      <c r="I232" s="121"/>
    </row>
    <row r="233" ht="15.75" customHeight="1">
      <c r="A233" s="121"/>
      <c r="B233" s="157" t="s">
        <v>286</v>
      </c>
      <c r="C233" s="158">
        <v>33.0</v>
      </c>
      <c r="D233" s="159" t="b">
        <v>1</v>
      </c>
      <c r="E233" s="160">
        <v>943592.0</v>
      </c>
      <c r="F233" s="152" t="s">
        <v>543</v>
      </c>
      <c r="G233" s="125" t="s">
        <v>296</v>
      </c>
      <c r="H233" s="135" t="s">
        <v>1445</v>
      </c>
      <c r="I233" s="121"/>
    </row>
    <row r="234" ht="15.75" customHeight="1">
      <c r="A234" s="121"/>
      <c r="B234" s="157" t="s">
        <v>286</v>
      </c>
      <c r="C234" s="158">
        <v>33.0</v>
      </c>
      <c r="D234" s="159" t="b">
        <v>1</v>
      </c>
      <c r="E234" s="160">
        <v>943593.0</v>
      </c>
      <c r="F234" s="161" t="s">
        <v>1228</v>
      </c>
      <c r="G234" s="150" t="s">
        <v>1229</v>
      </c>
      <c r="H234" s="135" t="s">
        <v>1446</v>
      </c>
      <c r="I234" s="121"/>
    </row>
    <row r="235" ht="15.75" customHeight="1">
      <c r="A235" s="121"/>
      <c r="B235" s="157" t="s">
        <v>1185</v>
      </c>
      <c r="C235" s="158">
        <v>34.0</v>
      </c>
      <c r="D235" s="159" t="b">
        <v>1</v>
      </c>
      <c r="E235" s="160">
        <v>943594.0</v>
      </c>
      <c r="F235" s="161" t="s">
        <v>543</v>
      </c>
      <c r="G235" s="125" t="s">
        <v>296</v>
      </c>
      <c r="H235" s="168" t="s">
        <v>1447</v>
      </c>
      <c r="I235" s="121"/>
    </row>
    <row r="236" ht="15.75" customHeight="1">
      <c r="A236" s="121"/>
      <c r="B236" s="157" t="s">
        <v>1413</v>
      </c>
      <c r="C236" s="158">
        <v>34.0</v>
      </c>
      <c r="D236" s="159" t="b">
        <v>1</v>
      </c>
      <c r="E236" s="160">
        <v>943595.0</v>
      </c>
      <c r="F236" s="161" t="s">
        <v>543</v>
      </c>
      <c r="G236" s="125" t="s">
        <v>296</v>
      </c>
      <c r="H236" s="135" t="s">
        <v>1448</v>
      </c>
      <c r="I236" s="121"/>
    </row>
    <row r="237" ht="15.75" customHeight="1">
      <c r="A237" s="121"/>
      <c r="B237" s="157" t="s">
        <v>1413</v>
      </c>
      <c r="C237" s="158">
        <v>35.0</v>
      </c>
      <c r="D237" s="159" t="b">
        <v>1</v>
      </c>
      <c r="E237" s="160">
        <v>943596.0</v>
      </c>
      <c r="F237" s="161" t="s">
        <v>543</v>
      </c>
      <c r="G237" s="125" t="s">
        <v>296</v>
      </c>
      <c r="H237" s="135" t="s">
        <v>1449</v>
      </c>
      <c r="I237" s="121"/>
    </row>
    <row r="238" ht="15.75" customHeight="1">
      <c r="A238" s="121"/>
      <c r="B238" s="157" t="s">
        <v>1241</v>
      </c>
      <c r="C238" s="158">
        <v>34.0</v>
      </c>
      <c r="D238" s="159" t="b">
        <v>1</v>
      </c>
      <c r="E238" s="160">
        <v>943597.0</v>
      </c>
      <c r="F238" s="161" t="s">
        <v>543</v>
      </c>
      <c r="G238" s="125" t="s">
        <v>296</v>
      </c>
      <c r="H238" s="135" t="s">
        <v>1450</v>
      </c>
      <c r="I238" s="121"/>
    </row>
    <row r="239" ht="15.75" customHeight="1">
      <c r="A239" s="121"/>
      <c r="B239" s="157" t="s">
        <v>1413</v>
      </c>
      <c r="C239" s="158">
        <v>34.0</v>
      </c>
      <c r="D239" s="159" t="b">
        <v>1</v>
      </c>
      <c r="E239" s="160">
        <v>943598.0</v>
      </c>
      <c r="F239" s="161" t="s">
        <v>543</v>
      </c>
      <c r="G239" s="125" t="s">
        <v>296</v>
      </c>
      <c r="H239" s="135" t="s">
        <v>1451</v>
      </c>
      <c r="I239" s="121"/>
    </row>
    <row r="240" ht="15.75" customHeight="1">
      <c r="A240" s="121"/>
      <c r="B240" s="157" t="s">
        <v>1452</v>
      </c>
      <c r="C240" s="158">
        <v>35.0</v>
      </c>
      <c r="D240" s="159" t="b">
        <v>1</v>
      </c>
      <c r="E240" s="160">
        <v>943908.0</v>
      </c>
      <c r="F240" s="161" t="s">
        <v>543</v>
      </c>
      <c r="G240" s="125" t="s">
        <v>1317</v>
      </c>
      <c r="H240" s="135" t="s">
        <v>1453</v>
      </c>
      <c r="I240" s="121"/>
    </row>
    <row r="241" ht="15.75" customHeight="1">
      <c r="A241" s="121"/>
      <c r="B241" s="162" t="s">
        <v>1366</v>
      </c>
      <c r="C241" s="165"/>
      <c r="D241" s="166" t="b">
        <v>0</v>
      </c>
      <c r="E241" s="160">
        <v>944058.0</v>
      </c>
      <c r="F241" s="152" t="s">
        <v>1398</v>
      </c>
      <c r="G241" s="125" t="s">
        <v>296</v>
      </c>
      <c r="H241" s="135" t="s">
        <v>1454</v>
      </c>
      <c r="I241" s="121"/>
    </row>
    <row r="242" ht="15.75" customHeight="1">
      <c r="A242" s="121"/>
      <c r="B242" s="162" t="s">
        <v>1235</v>
      </c>
      <c r="C242" s="165"/>
      <c r="D242" s="166" t="b">
        <v>0</v>
      </c>
      <c r="E242" s="160">
        <v>944059.0</v>
      </c>
      <c r="F242" s="152" t="s">
        <v>543</v>
      </c>
      <c r="G242" s="125" t="s">
        <v>296</v>
      </c>
      <c r="H242" s="135" t="s">
        <v>1455</v>
      </c>
      <c r="I242" s="121"/>
    </row>
    <row r="243" ht="15.75" customHeight="1">
      <c r="A243" s="121"/>
      <c r="B243" s="162" t="s">
        <v>1224</v>
      </c>
      <c r="C243" s="165"/>
      <c r="D243" s="166" t="b">
        <v>0</v>
      </c>
      <c r="E243" s="160">
        <v>944205.0</v>
      </c>
      <c r="F243" s="152" t="s">
        <v>1225</v>
      </c>
      <c r="G243" s="125" t="s">
        <v>1317</v>
      </c>
      <c r="H243" s="135" t="s">
        <v>1456</v>
      </c>
      <c r="I243" s="121"/>
    </row>
    <row r="244" ht="15.75" customHeight="1">
      <c r="A244" s="121"/>
      <c r="B244" s="157" t="s">
        <v>1241</v>
      </c>
      <c r="C244" s="158">
        <v>34.0</v>
      </c>
      <c r="D244" s="159" t="b">
        <v>1</v>
      </c>
      <c r="E244" s="160">
        <v>944243.0</v>
      </c>
      <c r="F244" s="161" t="s">
        <v>543</v>
      </c>
      <c r="G244" s="125" t="s">
        <v>296</v>
      </c>
      <c r="H244" s="135" t="s">
        <v>1457</v>
      </c>
      <c r="I244" s="121"/>
    </row>
    <row r="245" ht="15.75" customHeight="1">
      <c r="A245" s="121"/>
      <c r="B245" s="162" t="s">
        <v>1224</v>
      </c>
      <c r="C245" s="158">
        <v>34.0</v>
      </c>
      <c r="D245" s="159" t="b">
        <v>1</v>
      </c>
      <c r="E245" s="160">
        <v>944554.0</v>
      </c>
      <c r="F245" s="152" t="s">
        <v>1225</v>
      </c>
      <c r="G245" s="125" t="s">
        <v>1317</v>
      </c>
      <c r="H245" s="135" t="s">
        <v>1458</v>
      </c>
      <c r="I245" s="121"/>
    </row>
    <row r="246" ht="15.75" customHeight="1">
      <c r="A246" s="121"/>
      <c r="B246" s="162" t="s">
        <v>1406</v>
      </c>
      <c r="C246" s="158">
        <v>35.0</v>
      </c>
      <c r="D246" s="159" t="b">
        <v>1</v>
      </c>
      <c r="E246" s="160">
        <v>944631.0</v>
      </c>
      <c r="F246" s="152" t="s">
        <v>543</v>
      </c>
      <c r="G246" s="125" t="s">
        <v>296</v>
      </c>
      <c r="H246" s="135" t="s">
        <v>1459</v>
      </c>
      <c r="I246" s="121"/>
    </row>
    <row r="247" ht="15.75" customHeight="1">
      <c r="A247" s="121"/>
      <c r="B247" s="162" t="s">
        <v>286</v>
      </c>
      <c r="C247" s="158">
        <v>34.0</v>
      </c>
      <c r="D247" s="159" t="b">
        <v>1</v>
      </c>
      <c r="E247" s="160">
        <v>944632.0</v>
      </c>
      <c r="F247" s="152" t="s">
        <v>543</v>
      </c>
      <c r="G247" s="125" t="s">
        <v>296</v>
      </c>
      <c r="H247" s="135" t="s">
        <v>1460</v>
      </c>
      <c r="I247" s="121"/>
    </row>
    <row r="248" ht="15.75" customHeight="1">
      <c r="A248" s="121"/>
      <c r="B248" s="162" t="s">
        <v>1406</v>
      </c>
      <c r="C248" s="158">
        <v>34.0</v>
      </c>
      <c r="D248" s="159" t="b">
        <v>1</v>
      </c>
      <c r="E248" s="160">
        <v>944633.0</v>
      </c>
      <c r="F248" s="152" t="s">
        <v>543</v>
      </c>
      <c r="G248" s="125" t="s">
        <v>296</v>
      </c>
      <c r="H248" s="135" t="s">
        <v>1461</v>
      </c>
      <c r="I248" s="121"/>
    </row>
    <row r="249" ht="15.75" customHeight="1">
      <c r="A249" s="121"/>
      <c r="B249" s="157" t="s">
        <v>322</v>
      </c>
      <c r="C249" s="158">
        <v>35.0</v>
      </c>
      <c r="D249" s="166" t="b">
        <v>0</v>
      </c>
      <c r="E249" s="160">
        <v>944634.0</v>
      </c>
      <c r="F249" s="161" t="s">
        <v>1271</v>
      </c>
      <c r="G249" s="125" t="s">
        <v>296</v>
      </c>
      <c r="H249" s="135" t="s">
        <v>1462</v>
      </c>
      <c r="I249" s="121"/>
    </row>
    <row r="250" ht="15.75" customHeight="1">
      <c r="A250" s="121"/>
      <c r="B250" s="162" t="s">
        <v>1413</v>
      </c>
      <c r="C250" s="158">
        <v>35.0</v>
      </c>
      <c r="D250" s="159" t="b">
        <v>1</v>
      </c>
      <c r="E250" s="160">
        <v>944635.0</v>
      </c>
      <c r="F250" s="152" t="s">
        <v>543</v>
      </c>
      <c r="G250" s="125" t="s">
        <v>296</v>
      </c>
      <c r="H250" s="135" t="s">
        <v>1463</v>
      </c>
      <c r="I250" s="121"/>
    </row>
    <row r="251" ht="15.75" customHeight="1">
      <c r="A251" s="121"/>
      <c r="B251" s="162" t="s">
        <v>1190</v>
      </c>
      <c r="C251" s="158" t="s">
        <v>24</v>
      </c>
      <c r="D251" s="159" t="b">
        <v>1</v>
      </c>
      <c r="E251" s="160">
        <v>944772.0</v>
      </c>
      <c r="F251" s="152" t="s">
        <v>397</v>
      </c>
      <c r="G251" s="125" t="s">
        <v>1387</v>
      </c>
      <c r="H251" s="135" t="s">
        <v>1464</v>
      </c>
      <c r="I251" s="121"/>
    </row>
    <row r="252" ht="15.75" customHeight="1">
      <c r="A252" s="121"/>
      <c r="B252" s="162" t="s">
        <v>1190</v>
      </c>
      <c r="C252" s="158" t="s">
        <v>24</v>
      </c>
      <c r="D252" s="159" t="b">
        <v>1</v>
      </c>
      <c r="E252" s="160">
        <v>944776.0</v>
      </c>
      <c r="F252" s="152" t="s">
        <v>397</v>
      </c>
      <c r="G252" s="125" t="s">
        <v>1387</v>
      </c>
      <c r="H252" s="135" t="s">
        <v>1465</v>
      </c>
      <c r="I252" s="121"/>
    </row>
    <row r="253" ht="15.75" customHeight="1">
      <c r="A253" s="121"/>
      <c r="B253" s="162" t="s">
        <v>1190</v>
      </c>
      <c r="C253" s="158" t="s">
        <v>24</v>
      </c>
      <c r="D253" s="159" t="b">
        <v>1</v>
      </c>
      <c r="E253" s="160">
        <v>944777.0</v>
      </c>
      <c r="F253" s="152" t="s">
        <v>397</v>
      </c>
      <c r="G253" s="125" t="s">
        <v>1387</v>
      </c>
      <c r="H253" s="135" t="s">
        <v>1466</v>
      </c>
      <c r="I253" s="121"/>
    </row>
    <row r="254" ht="15.75" customHeight="1">
      <c r="A254" s="121"/>
      <c r="B254" s="162" t="s">
        <v>1190</v>
      </c>
      <c r="C254" s="158" t="s">
        <v>24</v>
      </c>
      <c r="D254" s="159" t="b">
        <v>1</v>
      </c>
      <c r="E254" s="160">
        <v>944786.0</v>
      </c>
      <c r="F254" s="152" t="s">
        <v>397</v>
      </c>
      <c r="G254" s="125" t="s">
        <v>1387</v>
      </c>
      <c r="H254" s="135" t="s">
        <v>1467</v>
      </c>
      <c r="I254" s="121"/>
    </row>
    <row r="255" ht="15.75" customHeight="1">
      <c r="A255" s="121"/>
      <c r="B255" s="162" t="s">
        <v>322</v>
      </c>
      <c r="C255" s="158">
        <v>36.0</v>
      </c>
      <c r="D255" s="166" t="b">
        <v>0</v>
      </c>
      <c r="E255" s="160">
        <v>944801.0</v>
      </c>
      <c r="F255" s="152" t="s">
        <v>1271</v>
      </c>
      <c r="G255" s="125" t="s">
        <v>296</v>
      </c>
      <c r="H255" s="135" t="s">
        <v>1468</v>
      </c>
      <c r="I255" s="121"/>
    </row>
    <row r="256" ht="15.75" customHeight="1">
      <c r="A256" s="121"/>
      <c r="B256" s="162" t="s">
        <v>322</v>
      </c>
      <c r="C256" s="158">
        <v>36.0</v>
      </c>
      <c r="D256" s="166" t="b">
        <v>0</v>
      </c>
      <c r="E256" s="160">
        <v>944857.0</v>
      </c>
      <c r="F256" s="152" t="s">
        <v>1271</v>
      </c>
      <c r="G256" s="125" t="s">
        <v>296</v>
      </c>
      <c r="H256" s="135" t="s">
        <v>1469</v>
      </c>
      <c r="I256" s="121"/>
    </row>
    <row r="257" ht="15.75" customHeight="1">
      <c r="A257" s="121"/>
      <c r="B257" s="162" t="s">
        <v>322</v>
      </c>
      <c r="C257" s="158">
        <v>35.0</v>
      </c>
      <c r="D257" s="166" t="b">
        <v>0</v>
      </c>
      <c r="E257" s="160">
        <v>944858.0</v>
      </c>
      <c r="F257" s="152" t="s">
        <v>1271</v>
      </c>
      <c r="G257" s="125" t="s">
        <v>296</v>
      </c>
      <c r="H257" s="135" t="s">
        <v>1470</v>
      </c>
      <c r="I257" s="121"/>
    </row>
    <row r="258" ht="15.75" customHeight="1">
      <c r="A258" s="121"/>
      <c r="B258" s="162" t="s">
        <v>322</v>
      </c>
      <c r="C258" s="158">
        <v>36.0</v>
      </c>
      <c r="D258" s="166" t="b">
        <v>0</v>
      </c>
      <c r="E258" s="160">
        <v>944859.0</v>
      </c>
      <c r="F258" s="152" t="s">
        <v>1271</v>
      </c>
      <c r="G258" s="125" t="s">
        <v>296</v>
      </c>
      <c r="H258" s="135" t="s">
        <v>1471</v>
      </c>
      <c r="I258" s="121"/>
    </row>
    <row r="259" ht="15.75" customHeight="1">
      <c r="A259" s="121"/>
      <c r="B259" s="162" t="s">
        <v>322</v>
      </c>
      <c r="C259" s="158">
        <v>36.0</v>
      </c>
      <c r="D259" s="166" t="b">
        <v>0</v>
      </c>
      <c r="E259" s="160">
        <v>944860.0</v>
      </c>
      <c r="F259" s="152" t="s">
        <v>1271</v>
      </c>
      <c r="G259" s="125" t="s">
        <v>296</v>
      </c>
      <c r="H259" s="135" t="s">
        <v>1472</v>
      </c>
      <c r="I259" s="121"/>
    </row>
    <row r="260" ht="15.75" customHeight="1">
      <c r="A260" s="121"/>
      <c r="B260" s="162" t="s">
        <v>322</v>
      </c>
      <c r="C260" s="158">
        <v>35.0</v>
      </c>
      <c r="D260" s="166" t="b">
        <v>0</v>
      </c>
      <c r="E260" s="160">
        <v>944861.0</v>
      </c>
      <c r="F260" s="152" t="s">
        <v>1271</v>
      </c>
      <c r="G260" s="125" t="s">
        <v>296</v>
      </c>
      <c r="H260" s="135" t="s">
        <v>1473</v>
      </c>
      <c r="I260" s="121"/>
    </row>
    <row r="261" ht="15.75" customHeight="1">
      <c r="A261" s="121"/>
      <c r="B261" s="162" t="s">
        <v>322</v>
      </c>
      <c r="C261" s="158">
        <v>36.0</v>
      </c>
      <c r="D261" s="166" t="b">
        <v>0</v>
      </c>
      <c r="E261" s="160">
        <v>944862.0</v>
      </c>
      <c r="F261" s="152" t="s">
        <v>1271</v>
      </c>
      <c r="G261" s="125" t="s">
        <v>296</v>
      </c>
      <c r="H261" s="135" t="s">
        <v>1474</v>
      </c>
      <c r="I261" s="121"/>
    </row>
    <row r="262" ht="15.75" customHeight="1">
      <c r="A262" s="121"/>
      <c r="B262" s="162" t="s">
        <v>322</v>
      </c>
      <c r="C262" s="158">
        <v>36.0</v>
      </c>
      <c r="D262" s="159" t="b">
        <v>1</v>
      </c>
      <c r="E262" s="160">
        <v>944863.0</v>
      </c>
      <c r="F262" s="149" t="s">
        <v>397</v>
      </c>
      <c r="G262" s="150" t="s">
        <v>1193</v>
      </c>
      <c r="H262" s="135" t="s">
        <v>1475</v>
      </c>
      <c r="I262" s="121"/>
    </row>
    <row r="263" ht="15.75" customHeight="1">
      <c r="A263" s="121"/>
      <c r="B263" s="157" t="s">
        <v>1413</v>
      </c>
      <c r="C263" s="158">
        <v>35.0</v>
      </c>
      <c r="D263" s="159" t="b">
        <v>1</v>
      </c>
      <c r="E263" s="160">
        <v>944864.0</v>
      </c>
      <c r="F263" s="152" t="s">
        <v>543</v>
      </c>
      <c r="G263" s="125" t="s">
        <v>296</v>
      </c>
      <c r="H263" s="135" t="s">
        <v>1476</v>
      </c>
      <c r="I263" s="121"/>
    </row>
    <row r="264" ht="15.75" customHeight="1">
      <c r="A264" s="121"/>
      <c r="B264" s="157" t="s">
        <v>286</v>
      </c>
      <c r="C264" s="158">
        <v>36.0</v>
      </c>
      <c r="D264" s="159" t="b">
        <v>1</v>
      </c>
      <c r="E264" s="160">
        <v>944930.0</v>
      </c>
      <c r="F264" s="161" t="s">
        <v>543</v>
      </c>
      <c r="G264" s="125" t="s">
        <v>1317</v>
      </c>
      <c r="H264" s="135" t="s">
        <v>1477</v>
      </c>
      <c r="I264" s="121"/>
    </row>
    <row r="265" ht="15.75" customHeight="1">
      <c r="A265" s="121"/>
      <c r="B265" s="162" t="s">
        <v>322</v>
      </c>
      <c r="C265" s="158">
        <v>36.0</v>
      </c>
      <c r="D265" s="159" t="b">
        <v>0</v>
      </c>
      <c r="E265" s="160">
        <v>945184.0</v>
      </c>
      <c r="F265" s="152" t="s">
        <v>1232</v>
      </c>
      <c r="G265" s="125" t="s">
        <v>296</v>
      </c>
      <c r="H265" s="135" t="s">
        <v>1478</v>
      </c>
      <c r="I265" s="121"/>
    </row>
    <row r="266" ht="15.75" customHeight="1">
      <c r="A266" s="121"/>
      <c r="B266" s="162" t="s">
        <v>1406</v>
      </c>
      <c r="C266" s="165"/>
      <c r="D266" s="159" t="b">
        <v>0</v>
      </c>
      <c r="E266" s="160">
        <v>945185.0</v>
      </c>
      <c r="F266" s="152" t="s">
        <v>543</v>
      </c>
      <c r="G266" s="125" t="s">
        <v>296</v>
      </c>
      <c r="H266" s="135" t="s">
        <v>1479</v>
      </c>
      <c r="I266" s="121"/>
    </row>
    <row r="267" ht="15.75" customHeight="1">
      <c r="A267" s="121"/>
      <c r="B267" s="162" t="s">
        <v>1406</v>
      </c>
      <c r="C267" s="165"/>
      <c r="D267" s="166" t="b">
        <v>0</v>
      </c>
      <c r="E267" s="160">
        <v>945186.0</v>
      </c>
      <c r="F267" s="152" t="s">
        <v>543</v>
      </c>
      <c r="G267" s="125" t="s">
        <v>296</v>
      </c>
      <c r="H267" s="135" t="s">
        <v>1480</v>
      </c>
      <c r="I267" s="121"/>
    </row>
    <row r="268" ht="15.75" customHeight="1">
      <c r="A268" s="121"/>
      <c r="B268" s="162" t="s">
        <v>1235</v>
      </c>
      <c r="C268" s="165"/>
      <c r="D268" s="166" t="b">
        <v>0</v>
      </c>
      <c r="E268" s="160">
        <v>945187.0</v>
      </c>
      <c r="F268" s="152" t="s">
        <v>543</v>
      </c>
      <c r="G268" s="125" t="s">
        <v>296</v>
      </c>
      <c r="H268" s="135" t="s">
        <v>1481</v>
      </c>
      <c r="I268" s="121"/>
    </row>
    <row r="269" ht="15.75" customHeight="1">
      <c r="A269" s="121"/>
      <c r="B269" s="162" t="s">
        <v>1235</v>
      </c>
      <c r="C269" s="165"/>
      <c r="D269" s="166" t="b">
        <v>0</v>
      </c>
      <c r="E269" s="160">
        <v>945188.0</v>
      </c>
      <c r="F269" s="152" t="s">
        <v>543</v>
      </c>
      <c r="G269" s="125" t="s">
        <v>296</v>
      </c>
      <c r="H269" s="135" t="s">
        <v>1482</v>
      </c>
      <c r="I269" s="121"/>
    </row>
    <row r="270" ht="15.75" customHeight="1">
      <c r="A270" s="121"/>
      <c r="B270" s="162" t="s">
        <v>286</v>
      </c>
      <c r="C270" s="158">
        <v>37.0</v>
      </c>
      <c r="D270" s="159" t="b">
        <v>1</v>
      </c>
      <c r="E270" s="160">
        <v>945189.0</v>
      </c>
      <c r="F270" s="152" t="s">
        <v>543</v>
      </c>
      <c r="G270" s="125" t="s">
        <v>296</v>
      </c>
      <c r="H270" s="135" t="s">
        <v>1482</v>
      </c>
      <c r="I270" s="121"/>
    </row>
    <row r="271" ht="15.75" customHeight="1">
      <c r="A271" s="121"/>
      <c r="B271" s="162" t="s">
        <v>1413</v>
      </c>
      <c r="C271" s="165"/>
      <c r="D271" s="166" t="b">
        <v>0</v>
      </c>
      <c r="E271" s="160">
        <v>945190.0</v>
      </c>
      <c r="F271" s="152" t="s">
        <v>543</v>
      </c>
      <c r="G271" s="125" t="s">
        <v>296</v>
      </c>
      <c r="H271" s="135" t="s">
        <v>1482</v>
      </c>
      <c r="I271" s="121"/>
    </row>
    <row r="272" ht="15.75" customHeight="1">
      <c r="A272" s="121"/>
      <c r="B272" s="162" t="s">
        <v>1406</v>
      </c>
      <c r="C272" s="165"/>
      <c r="D272" s="166" t="b">
        <v>0</v>
      </c>
      <c r="E272" s="160">
        <v>945191.0</v>
      </c>
      <c r="F272" s="152" t="s">
        <v>543</v>
      </c>
      <c r="G272" s="125" t="s">
        <v>296</v>
      </c>
      <c r="H272" s="135" t="s">
        <v>1483</v>
      </c>
      <c r="I272" s="121"/>
    </row>
    <row r="273" ht="15.75" customHeight="1">
      <c r="A273" s="121"/>
      <c r="B273" s="162" t="s">
        <v>322</v>
      </c>
      <c r="C273" s="158">
        <v>37.0</v>
      </c>
      <c r="D273" s="166" t="b">
        <v>0</v>
      </c>
      <c r="E273" s="160">
        <v>945192.0</v>
      </c>
      <c r="F273" s="152" t="s">
        <v>1271</v>
      </c>
      <c r="G273" s="125" t="s">
        <v>296</v>
      </c>
      <c r="H273" s="135" t="s">
        <v>1484</v>
      </c>
      <c r="I273" s="121"/>
    </row>
    <row r="274" ht="15.75" customHeight="1">
      <c r="A274" s="121"/>
      <c r="B274" s="162" t="s">
        <v>322</v>
      </c>
      <c r="C274" s="158">
        <v>38.0</v>
      </c>
      <c r="D274" s="166" t="b">
        <v>0</v>
      </c>
      <c r="E274" s="160">
        <v>945193.0</v>
      </c>
      <c r="F274" s="152" t="s">
        <v>1271</v>
      </c>
      <c r="G274" s="125" t="s">
        <v>296</v>
      </c>
      <c r="H274" s="135" t="s">
        <v>1485</v>
      </c>
      <c r="I274" s="121"/>
    </row>
    <row r="275" ht="15.75" customHeight="1">
      <c r="A275" s="121"/>
      <c r="B275" s="162" t="s">
        <v>322</v>
      </c>
      <c r="C275" s="158">
        <v>34.0</v>
      </c>
      <c r="D275" s="166" t="b">
        <v>0</v>
      </c>
      <c r="E275" s="160">
        <v>945194.0</v>
      </c>
      <c r="F275" s="152" t="s">
        <v>1271</v>
      </c>
      <c r="G275" s="125" t="s">
        <v>296</v>
      </c>
      <c r="H275" s="135" t="s">
        <v>1486</v>
      </c>
      <c r="I275" s="121"/>
    </row>
    <row r="276" ht="15.75" customHeight="1">
      <c r="A276" s="121"/>
      <c r="B276" s="162" t="s">
        <v>322</v>
      </c>
      <c r="C276" s="165"/>
      <c r="D276" s="166" t="b">
        <v>0</v>
      </c>
      <c r="E276" s="160">
        <v>945195.0</v>
      </c>
      <c r="F276" s="152" t="s">
        <v>1271</v>
      </c>
      <c r="G276" s="125" t="s">
        <v>296</v>
      </c>
      <c r="H276" s="135" t="s">
        <v>1487</v>
      </c>
      <c r="I276" s="121"/>
    </row>
    <row r="277" ht="15.75" customHeight="1">
      <c r="A277" s="121"/>
      <c r="B277" s="162" t="s">
        <v>1224</v>
      </c>
      <c r="C277" s="158">
        <v>35.0</v>
      </c>
      <c r="D277" s="159" t="b">
        <v>1</v>
      </c>
      <c r="E277" s="160">
        <v>945197.0</v>
      </c>
      <c r="F277" s="161" t="s">
        <v>543</v>
      </c>
      <c r="G277" s="125" t="s">
        <v>1317</v>
      </c>
      <c r="H277" s="135" t="s">
        <v>1488</v>
      </c>
      <c r="I277" s="121"/>
    </row>
    <row r="278" ht="15.75" customHeight="1">
      <c r="A278" s="121"/>
      <c r="B278" s="162" t="s">
        <v>322</v>
      </c>
      <c r="C278" s="158">
        <v>34.0</v>
      </c>
      <c r="D278" s="166" t="b">
        <v>0</v>
      </c>
      <c r="E278" s="160">
        <v>945543.0</v>
      </c>
      <c r="F278" s="152" t="s">
        <v>1232</v>
      </c>
      <c r="G278" s="125" t="s">
        <v>296</v>
      </c>
      <c r="H278" s="135" t="s">
        <v>1489</v>
      </c>
      <c r="I278" s="121"/>
    </row>
    <row r="279" ht="15.75" customHeight="1">
      <c r="A279" s="121"/>
      <c r="B279" s="157" t="s">
        <v>322</v>
      </c>
      <c r="C279" s="158">
        <v>34.0</v>
      </c>
      <c r="D279" s="166" t="b">
        <v>0</v>
      </c>
      <c r="E279" s="160">
        <v>945544.0</v>
      </c>
      <c r="F279" s="161" t="s">
        <v>1271</v>
      </c>
      <c r="G279" s="125" t="s">
        <v>296</v>
      </c>
      <c r="H279" s="135" t="s">
        <v>1490</v>
      </c>
      <c r="I279" s="121"/>
    </row>
    <row r="280" ht="15.75" customHeight="1">
      <c r="A280" s="121"/>
      <c r="B280" s="157" t="s">
        <v>302</v>
      </c>
      <c r="C280" s="158">
        <v>35.0</v>
      </c>
      <c r="D280" s="159" t="b">
        <v>1</v>
      </c>
      <c r="E280" s="160">
        <v>945781.0</v>
      </c>
      <c r="F280" s="152" t="s">
        <v>543</v>
      </c>
      <c r="G280" s="125" t="s">
        <v>296</v>
      </c>
      <c r="H280" s="135" t="s">
        <v>1491</v>
      </c>
      <c r="I280" s="121"/>
    </row>
    <row r="281" ht="15.75" customHeight="1">
      <c r="A281" s="121"/>
      <c r="B281" s="157" t="s">
        <v>302</v>
      </c>
      <c r="C281" s="158">
        <v>35.0</v>
      </c>
      <c r="D281" s="159" t="b">
        <v>1</v>
      </c>
      <c r="E281" s="160">
        <v>945783.0</v>
      </c>
      <c r="F281" s="152" t="s">
        <v>543</v>
      </c>
      <c r="G281" s="125" t="s">
        <v>296</v>
      </c>
      <c r="H281" s="135" t="s">
        <v>1492</v>
      </c>
      <c r="I281" s="121"/>
    </row>
    <row r="282" ht="15.75" customHeight="1">
      <c r="A282" s="121"/>
      <c r="B282" s="157" t="s">
        <v>286</v>
      </c>
      <c r="C282" s="158">
        <v>35.0</v>
      </c>
      <c r="D282" s="159" t="b">
        <v>1</v>
      </c>
      <c r="E282" s="160">
        <v>946082.0</v>
      </c>
      <c r="F282" s="161" t="s">
        <v>543</v>
      </c>
      <c r="G282" s="125" t="s">
        <v>296</v>
      </c>
      <c r="H282" s="135" t="s">
        <v>1493</v>
      </c>
      <c r="I282" s="121"/>
    </row>
    <row r="283" ht="15.75" customHeight="1">
      <c r="A283" s="121"/>
      <c r="B283" s="157" t="s">
        <v>286</v>
      </c>
      <c r="C283" s="158">
        <v>35.0</v>
      </c>
      <c r="D283" s="159" t="b">
        <v>1</v>
      </c>
      <c r="E283" s="160">
        <v>946087.0</v>
      </c>
      <c r="F283" s="161" t="s">
        <v>543</v>
      </c>
      <c r="G283" s="125" t="s">
        <v>296</v>
      </c>
      <c r="H283" s="135" t="s">
        <v>1494</v>
      </c>
      <c r="I283" s="121"/>
    </row>
    <row r="284" ht="15.75" customHeight="1">
      <c r="A284" s="121"/>
      <c r="B284" s="162" t="s">
        <v>1190</v>
      </c>
      <c r="C284" s="158" t="s">
        <v>24</v>
      </c>
      <c r="D284" s="159" t="b">
        <v>1</v>
      </c>
      <c r="E284" s="160">
        <v>946229.0</v>
      </c>
      <c r="F284" s="152" t="s">
        <v>397</v>
      </c>
      <c r="G284" s="125" t="s">
        <v>1387</v>
      </c>
      <c r="H284" s="135" t="s">
        <v>1495</v>
      </c>
      <c r="I284" s="121"/>
    </row>
    <row r="285" ht="15.75" customHeight="1">
      <c r="A285" s="121"/>
      <c r="B285" s="162" t="s">
        <v>1190</v>
      </c>
      <c r="C285" s="158" t="s">
        <v>24</v>
      </c>
      <c r="D285" s="159" t="b">
        <v>1</v>
      </c>
      <c r="E285" s="160">
        <v>946230.0</v>
      </c>
      <c r="F285" s="152" t="s">
        <v>397</v>
      </c>
      <c r="G285" s="125" t="s">
        <v>1387</v>
      </c>
      <c r="H285" s="135" t="s">
        <v>1496</v>
      </c>
      <c r="I285" s="121"/>
    </row>
    <row r="286" ht="15.75" customHeight="1">
      <c r="A286" s="121"/>
      <c r="B286" s="162" t="s">
        <v>1224</v>
      </c>
      <c r="C286" s="158">
        <v>37.0</v>
      </c>
      <c r="D286" s="166" t="b">
        <v>0</v>
      </c>
      <c r="E286" s="160">
        <v>946336.0</v>
      </c>
      <c r="F286" s="161" t="s">
        <v>1232</v>
      </c>
      <c r="G286" s="125" t="s">
        <v>1317</v>
      </c>
      <c r="H286" s="135" t="s">
        <v>1497</v>
      </c>
      <c r="I286" s="121"/>
    </row>
    <row r="287" ht="15.75" customHeight="1">
      <c r="A287" s="121"/>
      <c r="B287" s="157" t="s">
        <v>1406</v>
      </c>
      <c r="C287" s="158">
        <v>37.0</v>
      </c>
      <c r="D287" s="159" t="b">
        <v>1</v>
      </c>
      <c r="E287" s="160">
        <v>946568.0</v>
      </c>
      <c r="F287" s="161" t="s">
        <v>543</v>
      </c>
      <c r="G287" s="125" t="s">
        <v>296</v>
      </c>
      <c r="H287" s="135" t="s">
        <v>1498</v>
      </c>
      <c r="I287" s="121"/>
    </row>
    <row r="288" ht="15.75" customHeight="1">
      <c r="A288" s="121"/>
      <c r="B288" s="162" t="s">
        <v>286</v>
      </c>
      <c r="C288" s="158">
        <v>38.0</v>
      </c>
      <c r="D288" s="159" t="b">
        <v>1</v>
      </c>
      <c r="E288" s="160">
        <v>946569.0</v>
      </c>
      <c r="F288" s="152" t="s">
        <v>543</v>
      </c>
      <c r="G288" s="125" t="s">
        <v>296</v>
      </c>
      <c r="H288" s="135" t="s">
        <v>1499</v>
      </c>
      <c r="I288" s="121"/>
    </row>
    <row r="289" ht="15.75" customHeight="1">
      <c r="A289" s="121"/>
      <c r="B289" s="162" t="s">
        <v>1185</v>
      </c>
      <c r="C289" s="158">
        <v>37.0</v>
      </c>
      <c r="D289" s="159" t="b">
        <v>1</v>
      </c>
      <c r="E289" s="160">
        <v>946570.0</v>
      </c>
      <c r="F289" s="152" t="s">
        <v>543</v>
      </c>
      <c r="G289" s="125" t="s">
        <v>296</v>
      </c>
      <c r="H289" s="135" t="s">
        <v>1500</v>
      </c>
      <c r="I289" s="121"/>
    </row>
    <row r="290" ht="15.75" customHeight="1">
      <c r="A290" s="121"/>
      <c r="B290" s="162" t="s">
        <v>1406</v>
      </c>
      <c r="C290" s="158">
        <v>37.0</v>
      </c>
      <c r="D290" s="159" t="b">
        <v>1</v>
      </c>
      <c r="E290" s="160">
        <v>946571.0</v>
      </c>
      <c r="F290" s="152" t="s">
        <v>543</v>
      </c>
      <c r="G290" s="125" t="s">
        <v>296</v>
      </c>
      <c r="H290" s="135" t="s">
        <v>1501</v>
      </c>
      <c r="I290" s="121"/>
    </row>
    <row r="291" ht="15.75" customHeight="1">
      <c r="A291" s="121"/>
      <c r="B291" s="162" t="s">
        <v>322</v>
      </c>
      <c r="C291" s="158">
        <v>38.0</v>
      </c>
      <c r="D291" s="166" t="b">
        <v>0</v>
      </c>
      <c r="E291" s="160">
        <v>946572.0</v>
      </c>
      <c r="F291" s="152" t="s">
        <v>1271</v>
      </c>
      <c r="G291" s="125" t="s">
        <v>296</v>
      </c>
      <c r="H291" s="135" t="s">
        <v>1502</v>
      </c>
      <c r="I291" s="121"/>
    </row>
    <row r="292" ht="15.75" customHeight="1">
      <c r="A292" s="121"/>
      <c r="B292" s="162" t="s">
        <v>322</v>
      </c>
      <c r="C292" s="165"/>
      <c r="D292" s="166" t="b">
        <v>0</v>
      </c>
      <c r="E292" s="160">
        <v>946573.0</v>
      </c>
      <c r="F292" s="152" t="s">
        <v>1271</v>
      </c>
      <c r="G292" s="125" t="s">
        <v>296</v>
      </c>
      <c r="H292" s="135" t="s">
        <v>1503</v>
      </c>
      <c r="I292" s="121"/>
    </row>
    <row r="293" ht="15.75" customHeight="1">
      <c r="A293" s="121"/>
      <c r="B293" s="157" t="s">
        <v>1406</v>
      </c>
      <c r="C293" s="158">
        <v>37.0</v>
      </c>
      <c r="D293" s="159" t="b">
        <v>1</v>
      </c>
      <c r="E293" s="160">
        <v>946574.0</v>
      </c>
      <c r="F293" s="152" t="s">
        <v>543</v>
      </c>
      <c r="G293" s="125" t="s">
        <v>296</v>
      </c>
      <c r="H293" s="135" t="s">
        <v>1504</v>
      </c>
      <c r="I293" s="121"/>
    </row>
    <row r="294" ht="15.75" customHeight="1">
      <c r="A294" s="121"/>
      <c r="B294" s="162" t="s">
        <v>1406</v>
      </c>
      <c r="C294" s="158">
        <v>38.0</v>
      </c>
      <c r="D294" s="159" t="b">
        <v>1</v>
      </c>
      <c r="E294" s="160">
        <v>946575.0</v>
      </c>
      <c r="F294" s="152" t="s">
        <v>543</v>
      </c>
      <c r="G294" s="125" t="s">
        <v>296</v>
      </c>
      <c r="H294" s="135" t="s">
        <v>1505</v>
      </c>
      <c r="I294" s="121"/>
    </row>
    <row r="295" ht="15.75" customHeight="1">
      <c r="A295" s="121"/>
      <c r="B295" s="162" t="s">
        <v>1190</v>
      </c>
      <c r="C295" s="165"/>
      <c r="D295" s="166" t="b">
        <v>0</v>
      </c>
      <c r="E295" s="160">
        <v>946576.0</v>
      </c>
      <c r="F295" s="152" t="s">
        <v>1225</v>
      </c>
      <c r="G295" s="125" t="s">
        <v>296</v>
      </c>
      <c r="H295" s="135" t="s">
        <v>1506</v>
      </c>
      <c r="I295" s="121"/>
    </row>
    <row r="296" ht="15.75" customHeight="1">
      <c r="A296" s="121"/>
      <c r="B296" s="162" t="s">
        <v>1406</v>
      </c>
      <c r="C296" s="158">
        <v>37.0</v>
      </c>
      <c r="D296" s="159" t="b">
        <v>1</v>
      </c>
      <c r="E296" s="160">
        <v>946578.0</v>
      </c>
      <c r="F296" s="152" t="s">
        <v>543</v>
      </c>
      <c r="G296" s="125" t="s">
        <v>296</v>
      </c>
      <c r="H296" s="135" t="s">
        <v>1507</v>
      </c>
      <c r="I296" s="121"/>
    </row>
    <row r="297" ht="15.75" customHeight="1">
      <c r="A297" s="121"/>
      <c r="B297" s="162" t="s">
        <v>1406</v>
      </c>
      <c r="C297" s="158">
        <v>38.0</v>
      </c>
      <c r="D297" s="159" t="b">
        <v>1</v>
      </c>
      <c r="E297" s="160">
        <v>946579.0</v>
      </c>
      <c r="F297" s="152" t="s">
        <v>543</v>
      </c>
      <c r="G297" s="125" t="s">
        <v>296</v>
      </c>
      <c r="H297" s="135" t="s">
        <v>1508</v>
      </c>
      <c r="I297" s="121"/>
    </row>
    <row r="298" ht="15.75" customHeight="1">
      <c r="A298" s="121"/>
      <c r="B298" s="162" t="s">
        <v>1237</v>
      </c>
      <c r="C298" s="165"/>
      <c r="D298" s="166" t="b">
        <v>0</v>
      </c>
      <c r="E298" s="160">
        <v>946667.0</v>
      </c>
      <c r="F298" s="152" t="s">
        <v>543</v>
      </c>
      <c r="G298" s="125" t="s">
        <v>296</v>
      </c>
      <c r="H298" s="135" t="s">
        <v>1509</v>
      </c>
      <c r="I298" s="121"/>
    </row>
    <row r="299" ht="15.75" customHeight="1">
      <c r="A299" s="121"/>
      <c r="B299" s="162" t="s">
        <v>1413</v>
      </c>
      <c r="C299" s="158">
        <v>37.0</v>
      </c>
      <c r="D299" s="159" t="b">
        <v>1</v>
      </c>
      <c r="E299" s="160">
        <v>946835.0</v>
      </c>
      <c r="F299" s="152" t="s">
        <v>543</v>
      </c>
      <c r="G299" s="125" t="s">
        <v>296</v>
      </c>
      <c r="H299" s="135" t="s">
        <v>1510</v>
      </c>
      <c r="I299" s="121"/>
    </row>
    <row r="300" ht="15.75" customHeight="1">
      <c r="A300" s="121"/>
      <c r="B300" s="162" t="s">
        <v>1224</v>
      </c>
      <c r="C300" s="158">
        <v>38.0</v>
      </c>
      <c r="D300" s="166" t="b">
        <v>0</v>
      </c>
      <c r="E300" s="160">
        <v>946929.0</v>
      </c>
      <c r="F300" s="161" t="s">
        <v>1232</v>
      </c>
      <c r="G300" s="125" t="s">
        <v>1317</v>
      </c>
      <c r="H300" s="135" t="s">
        <v>1511</v>
      </c>
      <c r="I300" s="121"/>
    </row>
    <row r="301" ht="15.75" customHeight="1">
      <c r="A301" s="121"/>
      <c r="B301" s="162" t="s">
        <v>1224</v>
      </c>
      <c r="C301" s="165"/>
      <c r="D301" s="166" t="b">
        <v>0</v>
      </c>
      <c r="E301" s="160">
        <v>946930.0</v>
      </c>
      <c r="F301" s="152" t="s">
        <v>1225</v>
      </c>
      <c r="G301" s="125" t="s">
        <v>1317</v>
      </c>
      <c r="H301" s="135" t="s">
        <v>1511</v>
      </c>
      <c r="I301" s="121"/>
    </row>
    <row r="302" ht="15.75" customHeight="1">
      <c r="A302" s="121"/>
      <c r="B302" s="162" t="s">
        <v>1224</v>
      </c>
      <c r="C302" s="165"/>
      <c r="D302" s="166" t="b">
        <v>0</v>
      </c>
      <c r="E302" s="160">
        <v>947013.0</v>
      </c>
      <c r="F302" s="152" t="s">
        <v>1225</v>
      </c>
      <c r="G302" s="125" t="s">
        <v>1317</v>
      </c>
      <c r="H302" s="135" t="s">
        <v>1512</v>
      </c>
      <c r="I302" s="121"/>
    </row>
    <row r="303" ht="15.75" customHeight="1">
      <c r="A303" s="121"/>
      <c r="B303" s="162" t="s">
        <v>322</v>
      </c>
      <c r="C303" s="165"/>
      <c r="D303" s="159" t="b">
        <v>1</v>
      </c>
      <c r="E303" s="160">
        <v>947017.0</v>
      </c>
      <c r="F303" s="149" t="s">
        <v>397</v>
      </c>
      <c r="G303" s="150" t="s">
        <v>1193</v>
      </c>
      <c r="H303" s="135" t="s">
        <v>1513</v>
      </c>
      <c r="I303" s="121"/>
    </row>
    <row r="304" ht="15.75" customHeight="1">
      <c r="A304" s="121"/>
      <c r="B304" s="162" t="s">
        <v>322</v>
      </c>
      <c r="C304" s="165"/>
      <c r="D304" s="166" t="b">
        <v>0</v>
      </c>
      <c r="E304" s="160">
        <v>947216.0</v>
      </c>
      <c r="F304" s="149" t="s">
        <v>1228</v>
      </c>
      <c r="G304" s="150" t="s">
        <v>1229</v>
      </c>
      <c r="H304" s="135" t="s">
        <v>1514</v>
      </c>
      <c r="I304" s="121"/>
    </row>
    <row r="305" ht="15.75" customHeight="1">
      <c r="A305" s="121"/>
      <c r="B305" s="162" t="s">
        <v>1406</v>
      </c>
      <c r="C305" s="165"/>
      <c r="D305" s="166" t="b">
        <v>0</v>
      </c>
      <c r="E305" s="160">
        <v>947217.0</v>
      </c>
      <c r="F305" s="152" t="s">
        <v>543</v>
      </c>
      <c r="G305" s="125" t="s">
        <v>296</v>
      </c>
      <c r="H305" s="135" t="s">
        <v>1515</v>
      </c>
      <c r="I305" s="121"/>
    </row>
    <row r="306" ht="15.75" customHeight="1">
      <c r="A306" s="121"/>
      <c r="B306" s="162" t="s">
        <v>322</v>
      </c>
      <c r="C306" s="158">
        <v>40.0</v>
      </c>
      <c r="D306" s="166" t="b">
        <v>0</v>
      </c>
      <c r="E306" s="160">
        <v>947419.0</v>
      </c>
      <c r="F306" s="152" t="s">
        <v>1271</v>
      </c>
      <c r="G306" s="125" t="s">
        <v>296</v>
      </c>
      <c r="H306" s="135" t="s">
        <v>1516</v>
      </c>
      <c r="I306" s="121"/>
    </row>
    <row r="307" ht="15.75" customHeight="1">
      <c r="A307" s="121"/>
      <c r="B307" s="162" t="s">
        <v>322</v>
      </c>
      <c r="C307" s="165"/>
      <c r="D307" s="166" t="b">
        <v>0</v>
      </c>
      <c r="E307" s="160">
        <v>947420.0</v>
      </c>
      <c r="F307" s="152" t="s">
        <v>1271</v>
      </c>
      <c r="G307" s="125" t="s">
        <v>296</v>
      </c>
      <c r="H307" s="135" t="s">
        <v>1517</v>
      </c>
      <c r="I307" s="121"/>
    </row>
    <row r="308" ht="15.75" customHeight="1">
      <c r="A308" s="121"/>
      <c r="B308" s="162" t="s">
        <v>1252</v>
      </c>
      <c r="C308" s="165"/>
      <c r="D308" s="166" t="b">
        <v>0</v>
      </c>
      <c r="E308" s="160">
        <v>948217.0</v>
      </c>
      <c r="F308" s="152" t="s">
        <v>543</v>
      </c>
      <c r="G308" s="125" t="s">
        <v>296</v>
      </c>
      <c r="H308" s="135" t="s">
        <v>1518</v>
      </c>
      <c r="I308" s="121"/>
    </row>
    <row r="309" ht="15.75" customHeight="1">
      <c r="A309" s="121"/>
      <c r="B309" s="162" t="s">
        <v>322</v>
      </c>
      <c r="C309" s="165"/>
      <c r="D309" s="166" t="b">
        <v>0</v>
      </c>
      <c r="E309" s="160">
        <v>948218.0</v>
      </c>
      <c r="F309" s="152" t="s">
        <v>1271</v>
      </c>
      <c r="G309" s="125" t="s">
        <v>296</v>
      </c>
      <c r="H309" s="135" t="s">
        <v>1519</v>
      </c>
      <c r="I309" s="121"/>
    </row>
    <row r="310" ht="15.75" customHeight="1">
      <c r="A310" s="121"/>
      <c r="B310" s="162" t="s">
        <v>1252</v>
      </c>
      <c r="C310" s="165"/>
      <c r="D310" s="166" t="b">
        <v>0</v>
      </c>
      <c r="E310" s="160">
        <v>948219.0</v>
      </c>
      <c r="F310" s="152" t="s">
        <v>543</v>
      </c>
      <c r="G310" s="125" t="s">
        <v>296</v>
      </c>
      <c r="H310" s="135" t="s">
        <v>1520</v>
      </c>
      <c r="I310" s="121"/>
    </row>
    <row r="311" ht="15.75" customHeight="1">
      <c r="A311" s="121"/>
      <c r="B311" s="162" t="s">
        <v>1190</v>
      </c>
      <c r="C311" s="158" t="s">
        <v>24</v>
      </c>
      <c r="D311" s="159" t="b">
        <v>1</v>
      </c>
      <c r="E311" s="160">
        <v>948220.0</v>
      </c>
      <c r="F311" s="161" t="s">
        <v>397</v>
      </c>
      <c r="G311" s="150" t="s">
        <v>1199</v>
      </c>
      <c r="H311" s="135" t="s">
        <v>1521</v>
      </c>
      <c r="I311" s="121"/>
    </row>
    <row r="312" ht="15.75" customHeight="1">
      <c r="A312" s="121"/>
      <c r="B312" s="162" t="s">
        <v>1252</v>
      </c>
      <c r="C312" s="165"/>
      <c r="D312" s="166" t="b">
        <v>0</v>
      </c>
      <c r="E312" s="160">
        <v>948221.0</v>
      </c>
      <c r="F312" s="152" t="s">
        <v>543</v>
      </c>
      <c r="G312" s="125" t="s">
        <v>296</v>
      </c>
      <c r="H312" s="135" t="s">
        <v>1522</v>
      </c>
      <c r="I312" s="121"/>
    </row>
    <row r="313" ht="15.75" customHeight="1">
      <c r="A313" s="121"/>
      <c r="B313" s="162" t="s">
        <v>1224</v>
      </c>
      <c r="C313" s="165"/>
      <c r="D313" s="166" t="b">
        <v>0</v>
      </c>
      <c r="E313" s="160">
        <v>948451.0</v>
      </c>
      <c r="F313" s="152" t="s">
        <v>1225</v>
      </c>
      <c r="G313" s="125" t="s">
        <v>1317</v>
      </c>
      <c r="H313" s="135" t="s">
        <v>1523</v>
      </c>
      <c r="I313" s="121"/>
    </row>
    <row r="314" ht="15.75" customHeight="1">
      <c r="A314" s="121"/>
      <c r="B314" s="162" t="s">
        <v>322</v>
      </c>
      <c r="C314" s="165"/>
      <c r="D314" s="159" t="b">
        <v>1</v>
      </c>
      <c r="E314" s="160">
        <v>948719.0</v>
      </c>
      <c r="F314" s="149" t="s">
        <v>397</v>
      </c>
      <c r="G314" s="150" t="s">
        <v>1193</v>
      </c>
      <c r="H314" s="135" t="s">
        <v>1524</v>
      </c>
      <c r="I314" s="121"/>
    </row>
    <row r="315" ht="15.75" customHeight="1">
      <c r="A315" s="121"/>
      <c r="B315" s="162" t="s">
        <v>322</v>
      </c>
      <c r="C315" s="158">
        <v>40.0</v>
      </c>
      <c r="D315" s="159" t="b">
        <v>1</v>
      </c>
      <c r="E315" s="160">
        <v>948720.0</v>
      </c>
      <c r="F315" s="149" t="s">
        <v>1232</v>
      </c>
      <c r="G315" s="125" t="s">
        <v>296</v>
      </c>
      <c r="H315" s="135" t="s">
        <v>1525</v>
      </c>
      <c r="I315" s="121"/>
    </row>
    <row r="316" ht="15.75" customHeight="1">
      <c r="A316" s="121"/>
      <c r="B316" s="162" t="s">
        <v>322</v>
      </c>
      <c r="C316" s="165"/>
      <c r="D316" s="166" t="b">
        <v>0</v>
      </c>
      <c r="E316" s="160">
        <v>948721.0</v>
      </c>
      <c r="F316" s="152" t="s">
        <v>1271</v>
      </c>
      <c r="G316" s="125" t="s">
        <v>296</v>
      </c>
      <c r="H316" s="135" t="s">
        <v>1526</v>
      </c>
      <c r="I316" s="121"/>
    </row>
    <row r="317" ht="15.75" customHeight="1">
      <c r="A317" s="121"/>
      <c r="B317" s="162" t="s">
        <v>322</v>
      </c>
      <c r="C317" s="165"/>
      <c r="D317" s="166" t="b">
        <v>0</v>
      </c>
      <c r="E317" s="160">
        <v>948722.0</v>
      </c>
      <c r="F317" s="152" t="s">
        <v>1271</v>
      </c>
      <c r="G317" s="125" t="s">
        <v>296</v>
      </c>
      <c r="H317" s="135" t="s">
        <v>1527</v>
      </c>
      <c r="I317" s="121"/>
    </row>
    <row r="318" ht="15.75" customHeight="1">
      <c r="A318" s="121"/>
      <c r="B318" s="157" t="s">
        <v>1252</v>
      </c>
      <c r="C318" s="158">
        <v>40.0</v>
      </c>
      <c r="D318" s="159" t="b">
        <v>1</v>
      </c>
      <c r="E318" s="160">
        <v>949121.0</v>
      </c>
      <c r="F318" s="152" t="s">
        <v>543</v>
      </c>
      <c r="G318" s="125" t="s">
        <v>296</v>
      </c>
      <c r="H318" s="135" t="s">
        <v>1528</v>
      </c>
      <c r="I318" s="121"/>
    </row>
    <row r="319" ht="15.75" customHeight="1">
      <c r="A319" s="121"/>
      <c r="B319" s="162" t="s">
        <v>1413</v>
      </c>
      <c r="C319" s="165"/>
      <c r="D319" s="166" t="b">
        <v>0</v>
      </c>
      <c r="E319" s="160">
        <v>949156.0</v>
      </c>
      <c r="F319" s="152" t="s">
        <v>543</v>
      </c>
      <c r="G319" s="125" t="s">
        <v>296</v>
      </c>
      <c r="H319" s="135" t="s">
        <v>1529</v>
      </c>
      <c r="I319" s="121"/>
    </row>
    <row r="320" ht="15.75" customHeight="1">
      <c r="A320" s="121"/>
      <c r="B320" s="162" t="s">
        <v>1241</v>
      </c>
      <c r="C320" s="165"/>
      <c r="D320" s="166" t="b">
        <v>0</v>
      </c>
      <c r="E320" s="160">
        <v>949157.0</v>
      </c>
      <c r="F320" s="152" t="s">
        <v>543</v>
      </c>
      <c r="G320" s="125" t="s">
        <v>296</v>
      </c>
      <c r="H320" s="135" t="s">
        <v>1530</v>
      </c>
      <c r="I320" s="121"/>
    </row>
    <row r="321" ht="15.75" customHeight="1">
      <c r="A321" s="121"/>
      <c r="B321" s="162" t="s">
        <v>1252</v>
      </c>
      <c r="C321" s="165"/>
      <c r="D321" s="166" t="b">
        <v>0</v>
      </c>
      <c r="E321" s="160">
        <v>949339.0</v>
      </c>
      <c r="F321" s="152" t="s">
        <v>543</v>
      </c>
      <c r="G321" s="125" t="s">
        <v>1317</v>
      </c>
      <c r="H321" s="135" t="s">
        <v>1531</v>
      </c>
      <c r="I321" s="121"/>
    </row>
    <row r="322" ht="15.75" customHeight="1">
      <c r="A322" s="121"/>
      <c r="B322" s="162" t="s">
        <v>322</v>
      </c>
      <c r="C322" s="158">
        <v>41.0</v>
      </c>
      <c r="D322" s="159" t="b">
        <v>1</v>
      </c>
      <c r="E322" s="160">
        <v>949402.0</v>
      </c>
      <c r="F322" s="149" t="s">
        <v>397</v>
      </c>
      <c r="G322" s="150" t="s">
        <v>1193</v>
      </c>
      <c r="H322" s="135" t="s">
        <v>1532</v>
      </c>
      <c r="I322" s="121"/>
    </row>
    <row r="323" ht="15.75" customHeight="1">
      <c r="A323" s="121"/>
      <c r="B323" s="157" t="s">
        <v>302</v>
      </c>
      <c r="C323" s="158">
        <v>41.0</v>
      </c>
      <c r="D323" s="159" t="b">
        <v>1</v>
      </c>
      <c r="E323" s="160">
        <v>949597.0</v>
      </c>
      <c r="F323" s="152" t="s">
        <v>543</v>
      </c>
      <c r="G323" s="125" t="s">
        <v>296</v>
      </c>
      <c r="H323" s="135" t="s">
        <v>1533</v>
      </c>
      <c r="I323" s="121"/>
    </row>
    <row r="324" ht="15.75" customHeight="1">
      <c r="A324" s="121"/>
      <c r="B324" s="157" t="s">
        <v>1390</v>
      </c>
      <c r="C324" s="158">
        <v>36.0</v>
      </c>
      <c r="D324" s="159" t="b">
        <v>1</v>
      </c>
      <c r="E324" s="160">
        <v>949598.0</v>
      </c>
      <c r="F324" s="161" t="s">
        <v>543</v>
      </c>
      <c r="G324" s="125" t="s">
        <v>296</v>
      </c>
      <c r="H324" s="135" t="s">
        <v>1534</v>
      </c>
      <c r="I324" s="121"/>
    </row>
    <row r="325" ht="15.75" customHeight="1">
      <c r="A325" s="121"/>
      <c r="B325" s="157" t="s">
        <v>1428</v>
      </c>
      <c r="C325" s="158">
        <v>41.0</v>
      </c>
      <c r="D325" s="159" t="b">
        <v>1</v>
      </c>
      <c r="E325" s="160">
        <v>949666.0</v>
      </c>
      <c r="F325" s="152" t="s">
        <v>543</v>
      </c>
      <c r="G325" s="125" t="s">
        <v>1317</v>
      </c>
      <c r="H325" s="135" t="s">
        <v>1535</v>
      </c>
      <c r="I325" s="121"/>
    </row>
    <row r="326" ht="15.75" customHeight="1">
      <c r="A326" s="121"/>
      <c r="B326" s="162" t="s">
        <v>1190</v>
      </c>
      <c r="C326" s="158" t="s">
        <v>24</v>
      </c>
      <c r="D326" s="159" t="b">
        <v>1</v>
      </c>
      <c r="E326" s="160">
        <v>949705.0</v>
      </c>
      <c r="F326" s="152" t="s">
        <v>397</v>
      </c>
      <c r="G326" s="125" t="s">
        <v>1387</v>
      </c>
      <c r="H326" s="135" t="s">
        <v>1536</v>
      </c>
      <c r="I326" s="121"/>
    </row>
    <row r="327" ht="15.75" customHeight="1">
      <c r="A327" s="121"/>
      <c r="B327" s="162" t="s">
        <v>1190</v>
      </c>
      <c r="C327" s="158" t="s">
        <v>24</v>
      </c>
      <c r="D327" s="159" t="b">
        <v>1</v>
      </c>
      <c r="E327" s="160">
        <v>949706.0</v>
      </c>
      <c r="F327" s="152" t="s">
        <v>397</v>
      </c>
      <c r="G327" s="125" t="s">
        <v>1387</v>
      </c>
      <c r="H327" s="135" t="s">
        <v>1537</v>
      </c>
      <c r="I327" s="121"/>
    </row>
    <row r="328" ht="15.75" customHeight="1">
      <c r="A328" s="121"/>
      <c r="B328" s="162" t="s">
        <v>1452</v>
      </c>
      <c r="C328" s="158">
        <v>41.0</v>
      </c>
      <c r="D328" s="159" t="b">
        <v>1</v>
      </c>
      <c r="E328" s="160">
        <v>949726.0</v>
      </c>
      <c r="F328" s="152" t="s">
        <v>543</v>
      </c>
      <c r="G328" s="125" t="s">
        <v>296</v>
      </c>
      <c r="H328" s="135" t="s">
        <v>1538</v>
      </c>
      <c r="I328" s="121"/>
    </row>
    <row r="329" ht="15.75" customHeight="1">
      <c r="A329" s="121"/>
      <c r="B329" s="162" t="s">
        <v>322</v>
      </c>
      <c r="C329" s="158">
        <v>36.0</v>
      </c>
      <c r="D329" s="159" t="b">
        <v>1</v>
      </c>
      <c r="E329" s="160">
        <v>949727.0</v>
      </c>
      <c r="F329" s="149" t="s">
        <v>397</v>
      </c>
      <c r="G329" s="150" t="s">
        <v>1193</v>
      </c>
      <c r="H329" s="135" t="s">
        <v>1539</v>
      </c>
      <c r="I329" s="121"/>
    </row>
    <row r="330" ht="15.75" customHeight="1">
      <c r="A330" s="121"/>
      <c r="B330" s="162" t="s">
        <v>322</v>
      </c>
      <c r="C330" s="158">
        <v>41.0</v>
      </c>
      <c r="D330" s="159" t="b">
        <v>1</v>
      </c>
      <c r="E330" s="160">
        <v>949840.0</v>
      </c>
      <c r="F330" s="149" t="s">
        <v>397</v>
      </c>
      <c r="G330" s="150" t="s">
        <v>1193</v>
      </c>
      <c r="H330" s="135" t="s">
        <v>1540</v>
      </c>
      <c r="I330" s="121"/>
    </row>
    <row r="331" ht="15.75" customHeight="1">
      <c r="A331" s="121"/>
      <c r="B331" s="162" t="s">
        <v>1190</v>
      </c>
      <c r="C331" s="158" t="s">
        <v>24</v>
      </c>
      <c r="D331" s="159" t="b">
        <v>1</v>
      </c>
      <c r="E331" s="160">
        <v>949873.0</v>
      </c>
      <c r="F331" s="161" t="s">
        <v>397</v>
      </c>
      <c r="G331" s="150" t="s">
        <v>1278</v>
      </c>
      <c r="H331" s="135" t="s">
        <v>1541</v>
      </c>
      <c r="I331" s="121"/>
    </row>
    <row r="332" ht="15.75" customHeight="1">
      <c r="A332" s="121"/>
      <c r="B332" s="157" t="s">
        <v>286</v>
      </c>
      <c r="C332" s="158">
        <v>36.0</v>
      </c>
      <c r="D332" s="159" t="b">
        <v>1</v>
      </c>
      <c r="E332" s="160">
        <v>949874.0</v>
      </c>
      <c r="F332" s="152" t="s">
        <v>543</v>
      </c>
      <c r="G332" s="125" t="s">
        <v>296</v>
      </c>
      <c r="H332" s="135" t="s">
        <v>1541</v>
      </c>
      <c r="I332" s="121"/>
    </row>
    <row r="333" ht="15.75" customHeight="1">
      <c r="A333" s="121"/>
      <c r="B333" s="157" t="s">
        <v>286</v>
      </c>
      <c r="C333" s="158">
        <v>40.0</v>
      </c>
      <c r="D333" s="159" t="b">
        <v>1</v>
      </c>
      <c r="E333" s="160">
        <v>949875.0</v>
      </c>
      <c r="F333" s="161" t="s">
        <v>543</v>
      </c>
      <c r="G333" s="125" t="s">
        <v>296</v>
      </c>
      <c r="H333" s="135" t="s">
        <v>1542</v>
      </c>
      <c r="I333" s="121"/>
    </row>
    <row r="334" ht="15.75" customHeight="1">
      <c r="A334" s="121"/>
      <c r="B334" s="157" t="s">
        <v>302</v>
      </c>
      <c r="C334" s="158">
        <v>41.0</v>
      </c>
      <c r="D334" s="166" t="b">
        <v>0</v>
      </c>
      <c r="E334" s="160">
        <v>949919.0</v>
      </c>
      <c r="F334" s="161" t="s">
        <v>543</v>
      </c>
      <c r="G334" s="125" t="s">
        <v>1317</v>
      </c>
      <c r="H334" s="135" t="s">
        <v>1543</v>
      </c>
      <c r="I334" s="121"/>
    </row>
    <row r="335" ht="15.75" customHeight="1">
      <c r="A335" s="121"/>
      <c r="B335" s="162" t="s">
        <v>286</v>
      </c>
      <c r="C335" s="158">
        <v>40.0</v>
      </c>
      <c r="D335" s="166" t="b">
        <v>0</v>
      </c>
      <c r="E335" s="160">
        <v>949920.0</v>
      </c>
      <c r="F335" s="161" t="s">
        <v>543</v>
      </c>
      <c r="G335" s="125" t="s">
        <v>1317</v>
      </c>
      <c r="H335" s="135" t="s">
        <v>1544</v>
      </c>
      <c r="I335" s="121"/>
    </row>
    <row r="336" ht="15.75" customHeight="1">
      <c r="A336" s="121"/>
      <c r="B336" s="162" t="s">
        <v>1190</v>
      </c>
      <c r="C336" s="158" t="s">
        <v>24</v>
      </c>
      <c r="D336" s="159" t="b">
        <v>1</v>
      </c>
      <c r="E336" s="160">
        <v>949921.0</v>
      </c>
      <c r="F336" s="161" t="s">
        <v>397</v>
      </c>
      <c r="G336" s="150" t="s">
        <v>1278</v>
      </c>
      <c r="H336" s="135" t="s">
        <v>1545</v>
      </c>
      <c r="I336" s="121"/>
    </row>
    <row r="337" ht="15.75" customHeight="1">
      <c r="A337" s="121"/>
      <c r="B337" s="162" t="s">
        <v>1190</v>
      </c>
      <c r="C337" s="158" t="s">
        <v>24</v>
      </c>
      <c r="D337" s="159" t="b">
        <v>1</v>
      </c>
      <c r="E337" s="160">
        <v>949922.0</v>
      </c>
      <c r="F337" s="161" t="s">
        <v>397</v>
      </c>
      <c r="G337" s="150" t="s">
        <v>1278</v>
      </c>
      <c r="H337" s="135" t="s">
        <v>1546</v>
      </c>
      <c r="I337" s="121"/>
    </row>
    <row r="338" ht="15.75" customHeight="1">
      <c r="A338" s="121"/>
      <c r="B338" s="162" t="s">
        <v>1368</v>
      </c>
      <c r="C338" s="158">
        <v>40.0</v>
      </c>
      <c r="D338" s="159" t="b">
        <v>1</v>
      </c>
      <c r="E338" s="160">
        <v>949995.0</v>
      </c>
      <c r="F338" s="152" t="s">
        <v>543</v>
      </c>
      <c r="G338" s="125" t="s">
        <v>296</v>
      </c>
      <c r="H338" s="135" t="s">
        <v>1547</v>
      </c>
      <c r="I338" s="121"/>
    </row>
    <row r="339" ht="15.75" customHeight="1">
      <c r="A339" s="121"/>
      <c r="B339" s="162" t="s">
        <v>1368</v>
      </c>
      <c r="C339" s="158">
        <v>40.0</v>
      </c>
      <c r="D339" s="159" t="b">
        <v>1</v>
      </c>
      <c r="E339" s="160">
        <v>949996.0</v>
      </c>
      <c r="F339" s="152" t="s">
        <v>543</v>
      </c>
      <c r="G339" s="125" t="s">
        <v>296</v>
      </c>
      <c r="H339" s="135" t="s">
        <v>1548</v>
      </c>
      <c r="I339" s="121"/>
    </row>
    <row r="340" ht="15.75" customHeight="1">
      <c r="A340" s="121"/>
      <c r="B340" s="157" t="s">
        <v>1452</v>
      </c>
      <c r="C340" s="158">
        <v>41.0</v>
      </c>
      <c r="D340" s="159" t="b">
        <v>1</v>
      </c>
      <c r="E340" s="160">
        <v>949997.0</v>
      </c>
      <c r="F340" s="152" t="s">
        <v>543</v>
      </c>
      <c r="G340" s="125" t="s">
        <v>296</v>
      </c>
      <c r="H340" s="135" t="s">
        <v>1549</v>
      </c>
      <c r="I340" s="121"/>
    </row>
    <row r="341" ht="15.75" customHeight="1">
      <c r="A341" s="121"/>
      <c r="B341" s="162" t="s">
        <v>1413</v>
      </c>
      <c r="C341" s="158">
        <v>41.0</v>
      </c>
      <c r="D341" s="159" t="b">
        <v>1</v>
      </c>
      <c r="E341" s="160">
        <v>949998.0</v>
      </c>
      <c r="F341" s="152" t="s">
        <v>543</v>
      </c>
      <c r="G341" s="125" t="s">
        <v>296</v>
      </c>
      <c r="H341" s="135" t="s">
        <v>1550</v>
      </c>
      <c r="I341" s="121"/>
    </row>
    <row r="342" ht="15.75" customHeight="1">
      <c r="A342" s="121"/>
      <c r="B342" s="162" t="s">
        <v>1252</v>
      </c>
      <c r="C342" s="165"/>
      <c r="D342" s="166" t="b">
        <v>0</v>
      </c>
      <c r="E342" s="160">
        <v>950097.0</v>
      </c>
      <c r="F342" s="152" t="s">
        <v>543</v>
      </c>
      <c r="G342" s="125" t="s">
        <v>296</v>
      </c>
      <c r="H342" s="135" t="s">
        <v>1551</v>
      </c>
      <c r="I342" s="121"/>
    </row>
    <row r="343" ht="15.75" customHeight="1">
      <c r="A343" s="121"/>
      <c r="B343" s="162" t="s">
        <v>322</v>
      </c>
      <c r="C343" s="158">
        <v>41.0</v>
      </c>
      <c r="D343" s="159" t="b">
        <v>1</v>
      </c>
      <c r="E343" s="160">
        <v>950190.0</v>
      </c>
      <c r="F343" s="149" t="s">
        <v>397</v>
      </c>
      <c r="G343" s="150" t="s">
        <v>1193</v>
      </c>
      <c r="H343" s="135" t="s">
        <v>1552</v>
      </c>
      <c r="I343" s="121"/>
    </row>
    <row r="344" ht="15.75" customHeight="1">
      <c r="A344" s="121"/>
      <c r="B344" s="162" t="s">
        <v>286</v>
      </c>
      <c r="C344" s="158">
        <v>41.0</v>
      </c>
      <c r="D344" s="166" t="b">
        <v>0</v>
      </c>
      <c r="E344" s="160">
        <v>950194.0</v>
      </c>
      <c r="F344" s="161" t="s">
        <v>543</v>
      </c>
      <c r="G344" s="125" t="s">
        <v>296</v>
      </c>
      <c r="H344" s="135" t="s">
        <v>1553</v>
      </c>
      <c r="I344" s="121"/>
    </row>
    <row r="345" ht="15.75" customHeight="1">
      <c r="A345" s="121"/>
      <c r="B345" s="162" t="s">
        <v>322</v>
      </c>
      <c r="C345" s="158">
        <v>40.0</v>
      </c>
      <c r="D345" s="159" t="b">
        <v>1</v>
      </c>
      <c r="E345" s="160">
        <v>950278.0</v>
      </c>
      <c r="F345" s="149" t="s">
        <v>397</v>
      </c>
      <c r="G345" s="150" t="s">
        <v>1193</v>
      </c>
      <c r="H345" s="135" t="s">
        <v>1554</v>
      </c>
      <c r="I345" s="121"/>
    </row>
    <row r="346" ht="15.75" customHeight="1">
      <c r="A346" s="121"/>
      <c r="B346" s="162" t="s">
        <v>1252</v>
      </c>
      <c r="C346" s="158">
        <v>41.0</v>
      </c>
      <c r="D346" s="159" t="b">
        <v>1</v>
      </c>
      <c r="E346" s="160">
        <v>950377.0</v>
      </c>
      <c r="F346" s="152" t="s">
        <v>543</v>
      </c>
      <c r="G346" s="125" t="s">
        <v>1317</v>
      </c>
      <c r="H346" s="135" t="s">
        <v>1555</v>
      </c>
      <c r="I346" s="121"/>
    </row>
    <row r="347" ht="15.75" customHeight="1">
      <c r="A347" s="121"/>
      <c r="B347" s="162" t="s">
        <v>1252</v>
      </c>
      <c r="C347" s="158">
        <v>41.0</v>
      </c>
      <c r="D347" s="159" t="b">
        <v>1</v>
      </c>
      <c r="E347" s="160">
        <v>950378.0</v>
      </c>
      <c r="F347" s="152" t="s">
        <v>543</v>
      </c>
      <c r="G347" s="125" t="s">
        <v>1317</v>
      </c>
      <c r="H347" s="135" t="s">
        <v>1556</v>
      </c>
      <c r="I347" s="121"/>
    </row>
    <row r="348" ht="15.75" customHeight="1">
      <c r="A348" s="121"/>
      <c r="B348" s="162" t="s">
        <v>302</v>
      </c>
      <c r="C348" s="165"/>
      <c r="D348" s="166" t="b">
        <v>0</v>
      </c>
      <c r="E348" s="160">
        <v>950754.0</v>
      </c>
      <c r="F348" s="152" t="s">
        <v>543</v>
      </c>
      <c r="G348" s="125" t="s">
        <v>296</v>
      </c>
      <c r="H348" s="135" t="s">
        <v>1557</v>
      </c>
      <c r="I348" s="121"/>
    </row>
    <row r="349" ht="15.75" customHeight="1">
      <c r="A349" s="121"/>
      <c r="B349" s="162" t="s">
        <v>1235</v>
      </c>
      <c r="C349" s="165"/>
      <c r="D349" s="166" t="b">
        <v>0</v>
      </c>
      <c r="E349" s="160">
        <v>950816.0</v>
      </c>
      <c r="F349" s="152" t="s">
        <v>543</v>
      </c>
      <c r="G349" s="125" t="s">
        <v>296</v>
      </c>
      <c r="H349" s="135" t="s">
        <v>1558</v>
      </c>
      <c r="I349" s="121"/>
    </row>
    <row r="350" ht="15.75" customHeight="1">
      <c r="A350" s="121"/>
      <c r="B350" s="162" t="s">
        <v>1406</v>
      </c>
      <c r="C350" s="165"/>
      <c r="D350" s="166" t="b">
        <v>0</v>
      </c>
      <c r="E350" s="160">
        <v>950817.0</v>
      </c>
      <c r="F350" s="152" t="s">
        <v>543</v>
      </c>
      <c r="G350" s="125" t="s">
        <v>296</v>
      </c>
      <c r="H350" s="135" t="s">
        <v>1559</v>
      </c>
      <c r="I350" s="121"/>
    </row>
    <row r="351" ht="15.75" customHeight="1">
      <c r="A351" s="121"/>
      <c r="B351" s="162" t="s">
        <v>1254</v>
      </c>
      <c r="C351" s="165"/>
      <c r="D351" s="166" t="b">
        <v>0</v>
      </c>
      <c r="E351" s="160">
        <v>950818.0</v>
      </c>
      <c r="F351" s="152" t="s">
        <v>543</v>
      </c>
      <c r="G351" s="125" t="s">
        <v>296</v>
      </c>
      <c r="H351" s="135" t="s">
        <v>1560</v>
      </c>
      <c r="I351" s="121"/>
    </row>
    <row r="352" ht="15.75" customHeight="1">
      <c r="A352" s="121"/>
      <c r="B352" s="162" t="s">
        <v>1185</v>
      </c>
      <c r="C352" s="165"/>
      <c r="D352" s="166" t="b">
        <v>0</v>
      </c>
      <c r="E352" s="160">
        <v>950819.0</v>
      </c>
      <c r="F352" s="152" t="s">
        <v>543</v>
      </c>
      <c r="G352" s="125" t="s">
        <v>296</v>
      </c>
      <c r="H352" s="135" t="s">
        <v>1561</v>
      </c>
      <c r="I352" s="121"/>
    </row>
    <row r="353" ht="15.75" customHeight="1">
      <c r="A353" s="121"/>
      <c r="B353" s="162" t="s">
        <v>286</v>
      </c>
      <c r="C353" s="165"/>
      <c r="D353" s="166" t="b">
        <v>0</v>
      </c>
      <c r="E353" s="160">
        <v>950820.0</v>
      </c>
      <c r="F353" s="152" t="s">
        <v>543</v>
      </c>
      <c r="G353" s="125" t="s">
        <v>296</v>
      </c>
      <c r="H353" s="135" t="s">
        <v>1562</v>
      </c>
      <c r="I353" s="121"/>
    </row>
    <row r="354" ht="15.75" customHeight="1">
      <c r="A354" s="121"/>
      <c r="B354" s="157" t="s">
        <v>1452</v>
      </c>
      <c r="C354" s="158">
        <v>43.0</v>
      </c>
      <c r="D354" s="159" t="b">
        <v>1</v>
      </c>
      <c r="E354" s="160">
        <v>976602.0</v>
      </c>
      <c r="F354" s="152" t="s">
        <v>543</v>
      </c>
      <c r="G354" s="125" t="s">
        <v>296</v>
      </c>
      <c r="H354" s="135" t="s">
        <v>1563</v>
      </c>
      <c r="I354" s="121"/>
    </row>
    <row r="355" ht="15.75" customHeight="1">
      <c r="A355" s="121"/>
      <c r="B355" s="157" t="s">
        <v>1452</v>
      </c>
      <c r="C355" s="158">
        <v>43.0</v>
      </c>
      <c r="D355" s="159" t="b">
        <v>1</v>
      </c>
      <c r="E355" s="160">
        <v>976603.0</v>
      </c>
      <c r="F355" s="152" t="s">
        <v>543</v>
      </c>
      <c r="G355" s="125" t="s">
        <v>296</v>
      </c>
      <c r="H355" s="135" t="s">
        <v>1564</v>
      </c>
      <c r="I355" s="121"/>
    </row>
    <row r="356" ht="15.75" customHeight="1">
      <c r="A356" s="121"/>
      <c r="B356" s="157" t="s">
        <v>1452</v>
      </c>
      <c r="C356" s="158">
        <v>43.0</v>
      </c>
      <c r="D356" s="159" t="b">
        <v>1</v>
      </c>
      <c r="E356" s="160">
        <v>976604.0</v>
      </c>
      <c r="F356" s="152" t="s">
        <v>543</v>
      </c>
      <c r="G356" s="125" t="s">
        <v>296</v>
      </c>
      <c r="H356" s="135" t="s">
        <v>1565</v>
      </c>
      <c r="I356" s="121"/>
    </row>
    <row r="357" ht="15.75" customHeight="1">
      <c r="A357" s="121"/>
      <c r="B357" s="157" t="s">
        <v>1452</v>
      </c>
      <c r="C357" s="158">
        <v>43.0</v>
      </c>
      <c r="D357" s="159" t="b">
        <v>1</v>
      </c>
      <c r="E357" s="160">
        <v>976605.0</v>
      </c>
      <c r="F357" s="152" t="s">
        <v>543</v>
      </c>
      <c r="G357" s="125" t="s">
        <v>296</v>
      </c>
      <c r="H357" s="135" t="s">
        <v>1566</v>
      </c>
      <c r="I357" s="121"/>
    </row>
    <row r="358" ht="15.75" customHeight="1">
      <c r="A358" s="121"/>
      <c r="B358" s="157" t="s">
        <v>1452</v>
      </c>
      <c r="C358" s="158">
        <v>43.0</v>
      </c>
      <c r="D358" s="159" t="b">
        <v>1</v>
      </c>
      <c r="E358" s="160">
        <v>976606.0</v>
      </c>
      <c r="F358" s="152" t="s">
        <v>543</v>
      </c>
      <c r="G358" s="125" t="s">
        <v>296</v>
      </c>
      <c r="H358" s="135" t="s">
        <v>1567</v>
      </c>
      <c r="I358" s="121"/>
    </row>
    <row r="359" ht="15.75" customHeight="1">
      <c r="A359" s="121"/>
      <c r="B359" s="157" t="s">
        <v>1452</v>
      </c>
      <c r="C359" s="158">
        <v>43.0</v>
      </c>
      <c r="D359" s="159" t="b">
        <v>1</v>
      </c>
      <c r="E359" s="160">
        <v>976607.0</v>
      </c>
      <c r="F359" s="152" t="s">
        <v>543</v>
      </c>
      <c r="G359" s="125" t="s">
        <v>296</v>
      </c>
      <c r="H359" s="135" t="s">
        <v>1568</v>
      </c>
      <c r="I359" s="121"/>
    </row>
    <row r="360" ht="15.75" customHeight="1">
      <c r="A360" s="121"/>
      <c r="B360" s="162" t="s">
        <v>1368</v>
      </c>
      <c r="C360" s="158">
        <v>42.0</v>
      </c>
      <c r="D360" s="159" t="b">
        <v>1</v>
      </c>
      <c r="E360" s="160">
        <v>976608.0</v>
      </c>
      <c r="F360" s="152" t="s">
        <v>543</v>
      </c>
      <c r="G360" s="125" t="s">
        <v>296</v>
      </c>
      <c r="H360" s="135" t="s">
        <v>1569</v>
      </c>
      <c r="I360" s="121"/>
    </row>
    <row r="361" ht="15.75" customHeight="1">
      <c r="A361" s="121"/>
      <c r="B361" s="162" t="s">
        <v>1366</v>
      </c>
      <c r="C361" s="158">
        <v>38.0</v>
      </c>
      <c r="D361" s="159" t="b">
        <v>1</v>
      </c>
      <c r="E361" s="160">
        <v>976609.0</v>
      </c>
      <c r="F361" s="152" t="s">
        <v>543</v>
      </c>
      <c r="G361" s="125" t="s">
        <v>296</v>
      </c>
      <c r="H361" s="135" t="s">
        <v>1570</v>
      </c>
      <c r="I361" s="121"/>
    </row>
    <row r="362" ht="15.75" customHeight="1">
      <c r="A362" s="121"/>
      <c r="B362" s="162" t="s">
        <v>1366</v>
      </c>
      <c r="C362" s="158">
        <v>38.0</v>
      </c>
      <c r="D362" s="159" t="b">
        <v>1</v>
      </c>
      <c r="E362" s="160">
        <v>976610.0</v>
      </c>
      <c r="F362" s="152" t="s">
        <v>543</v>
      </c>
      <c r="G362" s="125" t="s">
        <v>296</v>
      </c>
      <c r="H362" s="135" t="s">
        <v>1571</v>
      </c>
      <c r="I362" s="121"/>
    </row>
    <row r="363" ht="15.75" customHeight="1">
      <c r="A363" s="121"/>
      <c r="B363" s="66" t="s">
        <v>1368</v>
      </c>
      <c r="C363" s="169">
        <v>42.0</v>
      </c>
      <c r="D363" s="170" t="b">
        <v>1</v>
      </c>
      <c r="E363" s="160">
        <v>976611.0</v>
      </c>
      <c r="F363" s="152" t="s">
        <v>543</v>
      </c>
      <c r="G363" s="125" t="s">
        <v>296</v>
      </c>
      <c r="H363" s="135" t="s">
        <v>1572</v>
      </c>
      <c r="I363" s="121"/>
    </row>
    <row r="364" ht="15.75" customHeight="1">
      <c r="A364" s="121"/>
      <c r="B364" s="157" t="s">
        <v>1368</v>
      </c>
      <c r="C364" s="158">
        <v>42.0</v>
      </c>
      <c r="D364" s="159" t="b">
        <v>1</v>
      </c>
      <c r="E364" s="160">
        <v>976612.0</v>
      </c>
      <c r="F364" s="152" t="s">
        <v>543</v>
      </c>
      <c r="G364" s="125" t="s">
        <v>296</v>
      </c>
      <c r="H364" s="135" t="s">
        <v>1573</v>
      </c>
      <c r="I364" s="121"/>
    </row>
    <row r="365" ht="15.75" customHeight="1">
      <c r="A365" s="121"/>
      <c r="B365" s="157" t="s">
        <v>1368</v>
      </c>
      <c r="C365" s="158">
        <v>42.0</v>
      </c>
      <c r="D365" s="159" t="b">
        <v>1</v>
      </c>
      <c r="E365" s="160">
        <v>976613.0</v>
      </c>
      <c r="F365" s="152" t="s">
        <v>543</v>
      </c>
      <c r="G365" s="125" t="s">
        <v>296</v>
      </c>
      <c r="H365" s="135" t="s">
        <v>1574</v>
      </c>
      <c r="I365" s="121"/>
    </row>
    <row r="366" ht="15.75" customHeight="1">
      <c r="A366" s="121"/>
      <c r="B366" s="157" t="s">
        <v>1368</v>
      </c>
      <c r="C366" s="158">
        <v>42.0</v>
      </c>
      <c r="D366" s="159" t="b">
        <v>1</v>
      </c>
      <c r="E366" s="160">
        <v>976614.0</v>
      </c>
      <c r="F366" s="152" t="s">
        <v>543</v>
      </c>
      <c r="G366" s="125" t="s">
        <v>296</v>
      </c>
      <c r="H366" s="135" t="s">
        <v>1575</v>
      </c>
      <c r="I366" s="121"/>
    </row>
    <row r="367" ht="15.75" customHeight="1">
      <c r="A367" s="121"/>
      <c r="B367" s="157" t="s">
        <v>1368</v>
      </c>
      <c r="C367" s="158">
        <v>42.0</v>
      </c>
      <c r="D367" s="159" t="b">
        <v>1</v>
      </c>
      <c r="E367" s="160">
        <v>976615.0</v>
      </c>
      <c r="F367" s="152" t="s">
        <v>543</v>
      </c>
      <c r="G367" s="125" t="s">
        <v>296</v>
      </c>
      <c r="H367" s="135" t="s">
        <v>1576</v>
      </c>
      <c r="I367" s="121"/>
    </row>
    <row r="368" ht="15.75" customHeight="1">
      <c r="A368" s="121"/>
      <c r="B368" s="157" t="s">
        <v>1368</v>
      </c>
      <c r="C368" s="158">
        <v>43.0</v>
      </c>
      <c r="D368" s="159" t="b">
        <v>1</v>
      </c>
      <c r="E368" s="160">
        <v>976616.0</v>
      </c>
      <c r="F368" s="152" t="s">
        <v>543</v>
      </c>
      <c r="G368" s="125" t="s">
        <v>296</v>
      </c>
      <c r="H368" s="135" t="s">
        <v>1577</v>
      </c>
      <c r="I368" s="121"/>
    </row>
    <row r="369" ht="15.75" customHeight="1">
      <c r="A369" s="121"/>
      <c r="B369" s="157" t="s">
        <v>1368</v>
      </c>
      <c r="C369" s="158">
        <v>42.0</v>
      </c>
      <c r="D369" s="159" t="b">
        <v>1</v>
      </c>
      <c r="E369" s="160">
        <v>976617.0</v>
      </c>
      <c r="F369" s="152" t="s">
        <v>543</v>
      </c>
      <c r="G369" s="125" t="s">
        <v>296</v>
      </c>
      <c r="H369" s="135" t="s">
        <v>1578</v>
      </c>
      <c r="I369" s="121"/>
    </row>
    <row r="370" ht="15.75" customHeight="1">
      <c r="A370" s="121"/>
      <c r="B370" s="157" t="s">
        <v>1368</v>
      </c>
      <c r="C370" s="158">
        <v>42.0</v>
      </c>
      <c r="D370" s="159" t="b">
        <v>1</v>
      </c>
      <c r="E370" s="160">
        <v>976618.0</v>
      </c>
      <c r="F370" s="152" t="s">
        <v>543</v>
      </c>
      <c r="G370" s="125" t="s">
        <v>296</v>
      </c>
      <c r="H370" s="135" t="s">
        <v>1579</v>
      </c>
      <c r="I370" s="121"/>
    </row>
    <row r="371" ht="15.75" customHeight="1">
      <c r="A371" s="121"/>
      <c r="B371" s="157" t="s">
        <v>1368</v>
      </c>
      <c r="C371" s="158">
        <v>42.0</v>
      </c>
      <c r="D371" s="159" t="b">
        <v>1</v>
      </c>
      <c r="E371" s="160">
        <v>976619.0</v>
      </c>
      <c r="F371" s="152" t="s">
        <v>543</v>
      </c>
      <c r="G371" s="125" t="s">
        <v>296</v>
      </c>
      <c r="H371" s="135" t="s">
        <v>1580</v>
      </c>
      <c r="I371" s="121"/>
    </row>
    <row r="372" ht="15.75" customHeight="1">
      <c r="A372" s="121"/>
      <c r="B372" s="162" t="s">
        <v>1452</v>
      </c>
      <c r="C372" s="158">
        <v>42.0</v>
      </c>
      <c r="D372" s="159" t="b">
        <v>1</v>
      </c>
      <c r="E372" s="160">
        <v>976620.0</v>
      </c>
      <c r="F372" s="152" t="s">
        <v>543</v>
      </c>
      <c r="G372" s="125" t="s">
        <v>296</v>
      </c>
      <c r="H372" s="135" t="s">
        <v>1581</v>
      </c>
      <c r="I372" s="121"/>
    </row>
    <row r="373" ht="15.75" customHeight="1">
      <c r="A373" s="121"/>
      <c r="B373" s="162" t="s">
        <v>1452</v>
      </c>
      <c r="C373" s="158">
        <v>42.0</v>
      </c>
      <c r="D373" s="159" t="b">
        <v>1</v>
      </c>
      <c r="E373" s="160">
        <v>976621.0</v>
      </c>
      <c r="F373" s="152" t="s">
        <v>543</v>
      </c>
      <c r="G373" s="125" t="s">
        <v>296</v>
      </c>
      <c r="H373" s="135" t="s">
        <v>1582</v>
      </c>
      <c r="I373" s="121"/>
    </row>
    <row r="374" ht="15.75" customHeight="1">
      <c r="A374" s="121"/>
      <c r="B374" s="162" t="s">
        <v>1452</v>
      </c>
      <c r="C374" s="158">
        <v>43.0</v>
      </c>
      <c r="D374" s="159" t="b">
        <v>1</v>
      </c>
      <c r="E374" s="160">
        <v>976622.0</v>
      </c>
      <c r="F374" s="152" t="s">
        <v>543</v>
      </c>
      <c r="G374" s="125" t="s">
        <v>296</v>
      </c>
      <c r="H374" s="135" t="s">
        <v>1583</v>
      </c>
      <c r="I374" s="121"/>
    </row>
    <row r="375" ht="15.75" customHeight="1">
      <c r="A375" s="121"/>
      <c r="B375" s="162" t="s">
        <v>1452</v>
      </c>
      <c r="C375" s="158">
        <v>42.0</v>
      </c>
      <c r="D375" s="159" t="b">
        <v>1</v>
      </c>
      <c r="E375" s="160">
        <v>976623.0</v>
      </c>
      <c r="F375" s="152" t="s">
        <v>543</v>
      </c>
      <c r="G375" s="125" t="s">
        <v>296</v>
      </c>
      <c r="H375" s="135" t="s">
        <v>1584</v>
      </c>
      <c r="I375" s="121"/>
    </row>
    <row r="376" ht="15.75" customHeight="1">
      <c r="A376" s="121"/>
      <c r="B376" s="162" t="s">
        <v>1452</v>
      </c>
      <c r="C376" s="158">
        <v>42.0</v>
      </c>
      <c r="D376" s="159" t="b">
        <v>1</v>
      </c>
      <c r="E376" s="160">
        <v>976624.0</v>
      </c>
      <c r="F376" s="152" t="s">
        <v>543</v>
      </c>
      <c r="G376" s="125" t="s">
        <v>296</v>
      </c>
      <c r="H376" s="135" t="s">
        <v>1585</v>
      </c>
      <c r="I376" s="121"/>
    </row>
    <row r="377" ht="15.75" customHeight="1">
      <c r="A377" s="121"/>
      <c r="B377" s="162" t="s">
        <v>1452</v>
      </c>
      <c r="C377" s="158">
        <v>43.0</v>
      </c>
      <c r="D377" s="159" t="b">
        <v>1</v>
      </c>
      <c r="E377" s="160">
        <v>976625.0</v>
      </c>
      <c r="F377" s="152" t="s">
        <v>543</v>
      </c>
      <c r="G377" s="125" t="s">
        <v>296</v>
      </c>
      <c r="H377" s="135" t="s">
        <v>1586</v>
      </c>
      <c r="I377" s="121"/>
    </row>
    <row r="378" ht="15.75" customHeight="1">
      <c r="A378" s="121"/>
      <c r="B378" s="157" t="s">
        <v>1368</v>
      </c>
      <c r="C378" s="158">
        <v>38.0</v>
      </c>
      <c r="D378" s="159" t="b">
        <v>1</v>
      </c>
      <c r="E378" s="160">
        <v>976626.0</v>
      </c>
      <c r="F378" s="152" t="s">
        <v>543</v>
      </c>
      <c r="G378" s="125" t="s">
        <v>296</v>
      </c>
      <c r="H378" s="135" t="s">
        <v>1587</v>
      </c>
      <c r="I378" s="121"/>
    </row>
    <row r="379" ht="15.75" customHeight="1">
      <c r="A379" s="121"/>
      <c r="B379" s="162" t="s">
        <v>1452</v>
      </c>
      <c r="C379" s="158">
        <v>45.0</v>
      </c>
      <c r="D379" s="159" t="b">
        <v>1</v>
      </c>
      <c r="E379" s="160">
        <v>976627.0</v>
      </c>
      <c r="F379" s="152" t="s">
        <v>543</v>
      </c>
      <c r="G379" s="125" t="s">
        <v>296</v>
      </c>
      <c r="H379" s="135" t="s">
        <v>1588</v>
      </c>
      <c r="I379" s="121"/>
    </row>
    <row r="380" ht="15.75" customHeight="1">
      <c r="A380" s="121"/>
      <c r="B380" s="162" t="s">
        <v>1452</v>
      </c>
      <c r="C380" s="158">
        <v>45.0</v>
      </c>
      <c r="D380" s="159" t="b">
        <v>1</v>
      </c>
      <c r="E380" s="160">
        <v>976628.0</v>
      </c>
      <c r="F380" s="152" t="s">
        <v>543</v>
      </c>
      <c r="G380" s="125" t="s">
        <v>296</v>
      </c>
      <c r="H380" s="135" t="s">
        <v>1589</v>
      </c>
      <c r="I380" s="121"/>
    </row>
    <row r="381" ht="15.75" customHeight="1">
      <c r="A381" s="121"/>
      <c r="B381" s="162" t="s">
        <v>1452</v>
      </c>
      <c r="C381" s="158">
        <v>38.0</v>
      </c>
      <c r="D381" s="159" t="b">
        <v>1</v>
      </c>
      <c r="E381" s="160">
        <v>976629.0</v>
      </c>
      <c r="F381" s="152" t="s">
        <v>543</v>
      </c>
      <c r="G381" s="125" t="s">
        <v>296</v>
      </c>
      <c r="H381" s="135" t="s">
        <v>1590</v>
      </c>
      <c r="I381" s="121"/>
    </row>
    <row r="382" ht="15.75" customHeight="1">
      <c r="A382" s="121"/>
      <c r="B382" s="162" t="s">
        <v>1452</v>
      </c>
      <c r="C382" s="158">
        <v>45.0</v>
      </c>
      <c r="D382" s="159" t="b">
        <v>1</v>
      </c>
      <c r="E382" s="160">
        <v>976630.0</v>
      </c>
      <c r="F382" s="152" t="s">
        <v>543</v>
      </c>
      <c r="G382" s="125" t="s">
        <v>296</v>
      </c>
      <c r="H382" s="135" t="s">
        <v>1591</v>
      </c>
      <c r="I382" s="121"/>
    </row>
    <row r="383" ht="15.75" customHeight="1">
      <c r="A383" s="121"/>
      <c r="B383" s="162" t="s">
        <v>1452</v>
      </c>
      <c r="C383" s="158">
        <v>45.0</v>
      </c>
      <c r="D383" s="159" t="b">
        <v>1</v>
      </c>
      <c r="E383" s="160">
        <v>976631.0</v>
      </c>
      <c r="F383" s="152" t="s">
        <v>543</v>
      </c>
      <c r="G383" s="125" t="s">
        <v>296</v>
      </c>
      <c r="H383" s="135" t="s">
        <v>1592</v>
      </c>
      <c r="I383" s="121"/>
    </row>
    <row r="384" ht="15.75" customHeight="1">
      <c r="A384" s="121"/>
      <c r="B384" s="162" t="s">
        <v>1452</v>
      </c>
      <c r="C384" s="158">
        <v>38.0</v>
      </c>
      <c r="D384" s="159" t="b">
        <v>1</v>
      </c>
      <c r="E384" s="160">
        <v>976632.0</v>
      </c>
      <c r="F384" s="152" t="s">
        <v>543</v>
      </c>
      <c r="G384" s="125" t="s">
        <v>296</v>
      </c>
      <c r="H384" s="135" t="s">
        <v>1593</v>
      </c>
      <c r="I384" s="121"/>
    </row>
    <row r="385" ht="15.75" customHeight="1">
      <c r="A385" s="121"/>
      <c r="B385" s="162" t="s">
        <v>1452</v>
      </c>
      <c r="C385" s="158">
        <v>45.0</v>
      </c>
      <c r="D385" s="159" t="b">
        <v>1</v>
      </c>
      <c r="E385" s="160">
        <v>976633.0</v>
      </c>
      <c r="F385" s="152" t="s">
        <v>543</v>
      </c>
      <c r="G385" s="125" t="s">
        <v>296</v>
      </c>
      <c r="H385" s="135" t="s">
        <v>1594</v>
      </c>
      <c r="I385" s="121"/>
    </row>
    <row r="386" ht="15.75" customHeight="1">
      <c r="A386" s="121"/>
      <c r="B386" s="157" t="s">
        <v>1245</v>
      </c>
      <c r="C386" s="158">
        <v>45.0</v>
      </c>
      <c r="D386" s="159" t="b">
        <v>1</v>
      </c>
      <c r="E386" s="160">
        <v>976634.0</v>
      </c>
      <c r="F386" s="149" t="s">
        <v>1228</v>
      </c>
      <c r="G386" s="150" t="s">
        <v>1229</v>
      </c>
      <c r="H386" s="135" t="s">
        <v>1595</v>
      </c>
      <c r="I386" s="121"/>
    </row>
    <row r="387" ht="15.75" customHeight="1">
      <c r="A387" s="121"/>
      <c r="B387" s="162" t="s">
        <v>1452</v>
      </c>
      <c r="C387" s="158">
        <v>38.0</v>
      </c>
      <c r="D387" s="159" t="b">
        <v>1</v>
      </c>
      <c r="E387" s="160">
        <v>976635.0</v>
      </c>
      <c r="F387" s="152" t="s">
        <v>543</v>
      </c>
      <c r="G387" s="125" t="s">
        <v>296</v>
      </c>
      <c r="H387" s="135" t="s">
        <v>1596</v>
      </c>
      <c r="I387" s="121"/>
    </row>
    <row r="388" ht="15.75" customHeight="1">
      <c r="A388" s="121"/>
      <c r="B388" s="162" t="s">
        <v>1452</v>
      </c>
      <c r="C388" s="158">
        <v>45.0</v>
      </c>
      <c r="D388" s="159" t="b">
        <v>1</v>
      </c>
      <c r="E388" s="160">
        <v>976636.0</v>
      </c>
      <c r="F388" s="152" t="s">
        <v>543</v>
      </c>
      <c r="G388" s="125" t="s">
        <v>296</v>
      </c>
      <c r="H388" s="135" t="s">
        <v>1597</v>
      </c>
      <c r="I388" s="121"/>
    </row>
    <row r="389" ht="15.75" customHeight="1">
      <c r="A389" s="121"/>
      <c r="B389" s="162" t="s">
        <v>1452</v>
      </c>
      <c r="C389" s="158">
        <v>45.0</v>
      </c>
      <c r="D389" s="159" t="b">
        <v>1</v>
      </c>
      <c r="E389" s="160">
        <v>976640.0</v>
      </c>
      <c r="F389" s="152" t="s">
        <v>543</v>
      </c>
      <c r="G389" s="125" t="s">
        <v>296</v>
      </c>
      <c r="H389" s="135" t="s">
        <v>1598</v>
      </c>
      <c r="I389" s="121"/>
    </row>
    <row r="390" ht="15.75" customHeight="1">
      <c r="A390" s="121"/>
      <c r="B390" s="162" t="s">
        <v>1241</v>
      </c>
      <c r="C390" s="165"/>
      <c r="D390" s="166" t="b">
        <v>0</v>
      </c>
      <c r="E390" s="160">
        <v>1161340.0</v>
      </c>
      <c r="F390" s="152" t="s">
        <v>543</v>
      </c>
      <c r="G390" s="125" t="s">
        <v>296</v>
      </c>
      <c r="H390" s="135" t="s">
        <v>1599</v>
      </c>
      <c r="I390" s="121"/>
    </row>
    <row r="391" ht="15.75" customHeight="1">
      <c r="A391" s="121"/>
      <c r="B391" s="162" t="s">
        <v>302</v>
      </c>
      <c r="C391" s="165"/>
      <c r="D391" s="166" t="b">
        <v>0</v>
      </c>
      <c r="E391" s="160">
        <v>1162298.0</v>
      </c>
      <c r="F391" s="149" t="s">
        <v>1228</v>
      </c>
      <c r="G391" s="150" t="s">
        <v>1229</v>
      </c>
      <c r="H391" s="135" t="s">
        <v>1600</v>
      </c>
      <c r="I391" s="121"/>
    </row>
    <row r="392" ht="15.75" customHeight="1">
      <c r="A392" s="121"/>
      <c r="B392" s="162" t="s">
        <v>302</v>
      </c>
      <c r="C392" s="165"/>
      <c r="D392" s="166" t="b">
        <v>0</v>
      </c>
      <c r="E392" s="160">
        <v>1162299.0</v>
      </c>
      <c r="F392" s="149" t="s">
        <v>1228</v>
      </c>
      <c r="G392" s="150" t="s">
        <v>1229</v>
      </c>
      <c r="H392" s="135" t="s">
        <v>1601</v>
      </c>
      <c r="I392" s="121"/>
    </row>
    <row r="393" ht="15.75" customHeight="1">
      <c r="A393" s="121"/>
      <c r="B393" s="162" t="s">
        <v>322</v>
      </c>
      <c r="C393" s="165"/>
      <c r="D393" s="166" t="b">
        <v>0</v>
      </c>
      <c r="E393" s="160">
        <v>1163780.0</v>
      </c>
      <c r="F393" s="152" t="s">
        <v>1271</v>
      </c>
      <c r="G393" s="125" t="s">
        <v>296</v>
      </c>
      <c r="H393" s="135" t="s">
        <v>1602</v>
      </c>
      <c r="I393" s="121"/>
    </row>
    <row r="394" ht="15.75" customHeight="1">
      <c r="A394" s="121"/>
      <c r="B394" s="162" t="s">
        <v>1368</v>
      </c>
      <c r="C394" s="165"/>
      <c r="D394" s="166" t="b">
        <v>0</v>
      </c>
      <c r="E394" s="160">
        <v>1164459.0</v>
      </c>
      <c r="F394" s="152" t="s">
        <v>1225</v>
      </c>
      <c r="G394" s="125" t="s">
        <v>296</v>
      </c>
      <c r="H394" s="135" t="s">
        <v>1603</v>
      </c>
      <c r="I394" s="121"/>
    </row>
    <row r="395" ht="15.75" customHeight="1">
      <c r="A395" s="121"/>
      <c r="B395" s="162" t="s">
        <v>1406</v>
      </c>
      <c r="C395" s="165"/>
      <c r="D395" s="166" t="b">
        <v>0</v>
      </c>
      <c r="E395" s="160">
        <v>1167179.0</v>
      </c>
      <c r="F395" s="152" t="s">
        <v>543</v>
      </c>
      <c r="G395" s="125" t="s">
        <v>296</v>
      </c>
      <c r="H395" s="135" t="s">
        <v>1604</v>
      </c>
      <c r="I395" s="121"/>
    </row>
    <row r="396" ht="15.75" customHeight="1">
      <c r="A396" s="121"/>
      <c r="B396" s="162" t="s">
        <v>286</v>
      </c>
      <c r="C396" s="165"/>
      <c r="D396" s="166" t="b">
        <v>0</v>
      </c>
      <c r="E396" s="160">
        <v>1167682.0</v>
      </c>
      <c r="F396" s="152" t="s">
        <v>1398</v>
      </c>
      <c r="G396" s="125" t="s">
        <v>296</v>
      </c>
      <c r="H396" s="135" t="s">
        <v>1605</v>
      </c>
      <c r="I396" s="121"/>
    </row>
    <row r="397" ht="15.75" customHeight="1">
      <c r="A397" s="121"/>
      <c r="B397" s="162" t="s">
        <v>286</v>
      </c>
      <c r="C397" s="165"/>
      <c r="D397" s="166" t="b">
        <v>0</v>
      </c>
      <c r="E397" s="160">
        <v>1167683.0</v>
      </c>
      <c r="F397" s="152" t="s">
        <v>1398</v>
      </c>
      <c r="G397" s="125" t="s">
        <v>296</v>
      </c>
      <c r="H397" s="135" t="s">
        <v>1606</v>
      </c>
      <c r="I397" s="121"/>
    </row>
    <row r="398" ht="15.75" customHeight="1">
      <c r="A398" s="121"/>
      <c r="B398" s="162" t="s">
        <v>322</v>
      </c>
      <c r="C398" s="165"/>
      <c r="D398" s="166" t="b">
        <v>0</v>
      </c>
      <c r="E398" s="160">
        <v>1169299.0</v>
      </c>
      <c r="F398" s="152" t="s">
        <v>1271</v>
      </c>
      <c r="G398" s="125" t="s">
        <v>296</v>
      </c>
      <c r="H398" s="135" t="s">
        <v>1607</v>
      </c>
      <c r="I398" s="121"/>
    </row>
    <row r="399" ht="15.75" customHeight="1">
      <c r="A399" s="121"/>
      <c r="B399" s="157" t="s">
        <v>302</v>
      </c>
      <c r="C399" s="165"/>
      <c r="D399" s="166" t="b">
        <v>0</v>
      </c>
      <c r="E399" s="160">
        <v>1210900.0</v>
      </c>
      <c r="F399" s="152" t="s">
        <v>1232</v>
      </c>
      <c r="G399" s="125" t="s">
        <v>296</v>
      </c>
      <c r="H399" s="135" t="s">
        <v>1608</v>
      </c>
      <c r="I399" s="121"/>
    </row>
    <row r="400" ht="15.75" customHeight="1">
      <c r="A400" s="121"/>
      <c r="B400" s="162" t="s">
        <v>1224</v>
      </c>
      <c r="C400" s="165"/>
      <c r="D400" s="166" t="b">
        <v>0</v>
      </c>
      <c r="E400" s="160">
        <v>1211054.0</v>
      </c>
      <c r="F400" s="152" t="s">
        <v>1225</v>
      </c>
      <c r="G400" s="125" t="s">
        <v>1317</v>
      </c>
      <c r="H400" s="135" t="s">
        <v>1609</v>
      </c>
      <c r="I400" s="121"/>
    </row>
    <row r="401" ht="15.75" customHeight="1">
      <c r="A401" s="121"/>
      <c r="B401" s="162" t="s">
        <v>286</v>
      </c>
      <c r="C401" s="165"/>
      <c r="D401" s="166" t="b">
        <v>0</v>
      </c>
      <c r="E401" s="160">
        <v>1211187.0</v>
      </c>
      <c r="F401" s="161" t="s">
        <v>1232</v>
      </c>
      <c r="G401" s="125" t="s">
        <v>296</v>
      </c>
      <c r="H401" s="135" t="s">
        <v>1610</v>
      </c>
      <c r="I401" s="121"/>
    </row>
    <row r="402" ht="15.75" customHeight="1">
      <c r="A402" s="121"/>
      <c r="B402" s="162" t="s">
        <v>1406</v>
      </c>
      <c r="C402" s="165"/>
      <c r="D402" s="166" t="b">
        <v>0</v>
      </c>
      <c r="E402" s="160">
        <v>1211195.0</v>
      </c>
      <c r="F402" s="152" t="s">
        <v>543</v>
      </c>
      <c r="G402" s="125" t="s">
        <v>296</v>
      </c>
      <c r="H402" s="135" t="s">
        <v>1610</v>
      </c>
      <c r="I402" s="121"/>
    </row>
    <row r="403" ht="15.75" customHeight="1">
      <c r="A403" s="121"/>
      <c r="B403" s="162" t="s">
        <v>286</v>
      </c>
      <c r="C403" s="165"/>
      <c r="D403" s="166" t="b">
        <v>0</v>
      </c>
      <c r="E403" s="160">
        <v>1212115.0</v>
      </c>
      <c r="F403" s="161" t="s">
        <v>1232</v>
      </c>
      <c r="G403" s="125" t="s">
        <v>296</v>
      </c>
      <c r="H403" s="135" t="s">
        <v>1611</v>
      </c>
      <c r="I403" s="121"/>
    </row>
    <row r="404" ht="15.75" customHeight="1">
      <c r="A404" s="121"/>
      <c r="B404" s="162" t="s">
        <v>1224</v>
      </c>
      <c r="C404" s="165"/>
      <c r="D404" s="166" t="b">
        <v>0</v>
      </c>
      <c r="E404" s="160">
        <v>1212134.0</v>
      </c>
      <c r="F404" s="152" t="s">
        <v>1225</v>
      </c>
      <c r="G404" s="125" t="s">
        <v>1317</v>
      </c>
      <c r="H404" s="135" t="s">
        <v>1610</v>
      </c>
      <c r="I404" s="121"/>
    </row>
    <row r="405" ht="15.75" customHeight="1">
      <c r="A405" s="121"/>
      <c r="B405" s="162" t="s">
        <v>286</v>
      </c>
      <c r="C405" s="158">
        <v>48.0</v>
      </c>
      <c r="D405" s="159" t="b">
        <v>1</v>
      </c>
      <c r="E405" s="160">
        <v>1226881.0</v>
      </c>
      <c r="F405" s="161" t="s">
        <v>1280</v>
      </c>
      <c r="G405" s="125" t="s">
        <v>296</v>
      </c>
      <c r="H405" s="135" t="s">
        <v>1612</v>
      </c>
      <c r="I405" s="121"/>
    </row>
    <row r="406" ht="15.75" customHeight="1">
      <c r="A406" s="121"/>
      <c r="B406" s="162" t="s">
        <v>1406</v>
      </c>
      <c r="C406" s="165"/>
      <c r="D406" s="166" t="b">
        <v>0</v>
      </c>
      <c r="E406" s="160">
        <v>1226882.0</v>
      </c>
      <c r="F406" s="152" t="s">
        <v>543</v>
      </c>
      <c r="G406" s="125" t="s">
        <v>296</v>
      </c>
      <c r="H406" s="135" t="s">
        <v>1612</v>
      </c>
      <c r="I406" s="121"/>
    </row>
    <row r="407" ht="15.75" customHeight="1">
      <c r="A407" s="121"/>
      <c r="B407" s="162" t="s">
        <v>286</v>
      </c>
      <c r="C407" s="165"/>
      <c r="D407" s="166" t="b">
        <v>0</v>
      </c>
      <c r="E407" s="160">
        <v>1226883.0</v>
      </c>
      <c r="F407" s="161" t="s">
        <v>1232</v>
      </c>
      <c r="G407" s="125" t="s">
        <v>296</v>
      </c>
      <c r="H407" s="135" t="s">
        <v>1612</v>
      </c>
      <c r="I407" s="121"/>
    </row>
    <row r="408" ht="15.75" customHeight="1">
      <c r="A408" s="121"/>
      <c r="B408" s="162" t="s">
        <v>1190</v>
      </c>
      <c r="C408" s="158" t="s">
        <v>24</v>
      </c>
      <c r="D408" s="159" t="b">
        <v>1</v>
      </c>
      <c r="E408" s="160">
        <v>1226884.0</v>
      </c>
      <c r="F408" s="161" t="s">
        <v>397</v>
      </c>
      <c r="G408" s="125" t="s">
        <v>1191</v>
      </c>
      <c r="H408" s="135" t="s">
        <v>1612</v>
      </c>
      <c r="I408" s="121"/>
    </row>
    <row r="409" ht="15.75" customHeight="1">
      <c r="A409" s="121"/>
      <c r="B409" s="162" t="s">
        <v>1190</v>
      </c>
      <c r="C409" s="158" t="s">
        <v>24</v>
      </c>
      <c r="D409" s="159" t="b">
        <v>1</v>
      </c>
      <c r="E409" s="160">
        <v>1226885.0</v>
      </c>
      <c r="F409" s="161" t="s">
        <v>397</v>
      </c>
      <c r="G409" s="125" t="s">
        <v>1191</v>
      </c>
      <c r="H409" s="135" t="s">
        <v>1612</v>
      </c>
      <c r="I409" s="121"/>
    </row>
    <row r="410" ht="15.75" customHeight="1">
      <c r="A410" s="121"/>
      <c r="B410" s="162" t="s">
        <v>1190</v>
      </c>
      <c r="C410" s="158" t="s">
        <v>24</v>
      </c>
      <c r="D410" s="159" t="b">
        <v>1</v>
      </c>
      <c r="E410" s="160">
        <v>1226886.0</v>
      </c>
      <c r="F410" s="161" t="s">
        <v>397</v>
      </c>
      <c r="G410" s="125" t="s">
        <v>1191</v>
      </c>
      <c r="H410" s="135" t="s">
        <v>1612</v>
      </c>
      <c r="I410" s="121"/>
    </row>
    <row r="411" ht="15.75" customHeight="1">
      <c r="A411" s="121"/>
      <c r="B411" s="162" t="s">
        <v>1190</v>
      </c>
      <c r="C411" s="158" t="s">
        <v>24</v>
      </c>
      <c r="D411" s="159" t="b">
        <v>1</v>
      </c>
      <c r="E411" s="160">
        <v>1226887.0</v>
      </c>
      <c r="F411" s="161" t="s">
        <v>397</v>
      </c>
      <c r="G411" s="125" t="s">
        <v>1191</v>
      </c>
      <c r="H411" s="135" t="s">
        <v>1612</v>
      </c>
      <c r="I411" s="121"/>
    </row>
    <row r="412" ht="15.75" customHeight="1">
      <c r="A412" s="121"/>
      <c r="B412" s="162" t="s">
        <v>1190</v>
      </c>
      <c r="C412" s="158" t="s">
        <v>24</v>
      </c>
      <c r="D412" s="159" t="b">
        <v>1</v>
      </c>
      <c r="E412" s="160">
        <v>1226888.0</v>
      </c>
      <c r="F412" s="161" t="s">
        <v>397</v>
      </c>
      <c r="G412" s="125" t="s">
        <v>1191</v>
      </c>
      <c r="H412" s="135" t="s">
        <v>1612</v>
      </c>
      <c r="I412" s="121"/>
    </row>
    <row r="413" ht="15.75" customHeight="1">
      <c r="A413" s="121"/>
      <c r="B413" s="162" t="s">
        <v>1190</v>
      </c>
      <c r="C413" s="158" t="s">
        <v>24</v>
      </c>
      <c r="D413" s="159" t="b">
        <v>1</v>
      </c>
      <c r="E413" s="160">
        <v>1226889.0</v>
      </c>
      <c r="F413" s="161" t="s">
        <v>397</v>
      </c>
      <c r="G413" s="125" t="s">
        <v>1191</v>
      </c>
      <c r="H413" s="135" t="s">
        <v>1612</v>
      </c>
      <c r="I413" s="121"/>
    </row>
    <row r="414" ht="15.75" customHeight="1">
      <c r="A414" s="121"/>
      <c r="B414" s="162" t="s">
        <v>1190</v>
      </c>
      <c r="C414" s="158" t="s">
        <v>24</v>
      </c>
      <c r="D414" s="159" t="b">
        <v>1</v>
      </c>
      <c r="E414" s="160">
        <v>1226890.0</v>
      </c>
      <c r="F414" s="161" t="s">
        <v>397</v>
      </c>
      <c r="G414" s="125" t="s">
        <v>1191</v>
      </c>
      <c r="H414" s="135" t="s">
        <v>1612</v>
      </c>
      <c r="I414" s="121"/>
    </row>
    <row r="415" ht="15.75" customHeight="1">
      <c r="A415" s="121"/>
      <c r="B415" s="162" t="s">
        <v>322</v>
      </c>
      <c r="C415" s="165"/>
      <c r="D415" s="159" t="b">
        <v>1</v>
      </c>
      <c r="E415" s="160">
        <v>1226929.0</v>
      </c>
      <c r="F415" s="149" t="s">
        <v>397</v>
      </c>
      <c r="G415" s="150" t="s">
        <v>1193</v>
      </c>
      <c r="H415" s="135" t="s">
        <v>1613</v>
      </c>
      <c r="I415" s="121"/>
    </row>
    <row r="416" ht="15.75" customHeight="1">
      <c r="A416" s="121"/>
      <c r="B416" s="171" t="s">
        <v>1406</v>
      </c>
      <c r="C416" s="172"/>
      <c r="D416" s="173" t="b">
        <v>0</v>
      </c>
      <c r="E416" s="174">
        <v>1227585.0</v>
      </c>
      <c r="F416" s="175" t="s">
        <v>543</v>
      </c>
      <c r="G416" s="125" t="s">
        <v>296</v>
      </c>
      <c r="H416" s="131" t="s">
        <v>1614</v>
      </c>
      <c r="I416" s="121"/>
    </row>
    <row r="417" ht="15.75" customHeight="1">
      <c r="A417" s="121"/>
      <c r="B417" s="171" t="s">
        <v>1185</v>
      </c>
      <c r="C417" s="176"/>
      <c r="D417" s="177" t="b">
        <v>0</v>
      </c>
      <c r="E417" s="160">
        <v>1227586.0</v>
      </c>
      <c r="F417" s="175" t="s">
        <v>543</v>
      </c>
      <c r="G417" s="125" t="s">
        <v>296</v>
      </c>
      <c r="H417" s="135" t="s">
        <v>1614</v>
      </c>
      <c r="I417" s="121"/>
    </row>
    <row r="418" ht="15.75" customHeight="1">
      <c r="A418" s="121"/>
      <c r="B418" s="171" t="s">
        <v>1241</v>
      </c>
      <c r="C418" s="176"/>
      <c r="D418" s="177" t="b">
        <v>0</v>
      </c>
      <c r="E418" s="160">
        <v>1227587.0</v>
      </c>
      <c r="F418" s="175" t="s">
        <v>543</v>
      </c>
      <c r="G418" s="125" t="s">
        <v>296</v>
      </c>
      <c r="H418" s="135" t="s">
        <v>1614</v>
      </c>
      <c r="I418" s="121"/>
    </row>
    <row r="419" ht="15.75" customHeight="1">
      <c r="A419" s="121"/>
      <c r="B419" s="162" t="s">
        <v>1190</v>
      </c>
      <c r="C419" s="158" t="s">
        <v>24</v>
      </c>
      <c r="D419" s="159" t="b">
        <v>1</v>
      </c>
      <c r="E419" s="160">
        <v>1227589.0</v>
      </c>
      <c r="F419" s="149" t="s">
        <v>397</v>
      </c>
      <c r="G419" s="125" t="s">
        <v>1387</v>
      </c>
      <c r="H419" s="135" t="s">
        <v>1615</v>
      </c>
      <c r="I419" s="121"/>
    </row>
    <row r="420" ht="15.75" customHeight="1">
      <c r="A420" s="121"/>
      <c r="B420" s="162" t="s">
        <v>302</v>
      </c>
      <c r="C420" s="165"/>
      <c r="D420" s="166" t="b">
        <v>0</v>
      </c>
      <c r="E420" s="160">
        <v>1227590.0</v>
      </c>
      <c r="F420" s="152" t="s">
        <v>1232</v>
      </c>
      <c r="G420" s="125" t="s">
        <v>296</v>
      </c>
      <c r="H420" s="135" t="s">
        <v>1615</v>
      </c>
      <c r="I420" s="121"/>
    </row>
    <row r="421" ht="15.75" customHeight="1">
      <c r="A421" s="121"/>
      <c r="B421" s="162" t="s">
        <v>1185</v>
      </c>
      <c r="C421" s="165"/>
      <c r="D421" s="166" t="b">
        <v>0</v>
      </c>
      <c r="E421" s="160">
        <v>1227591.0</v>
      </c>
      <c r="F421" s="152" t="s">
        <v>543</v>
      </c>
      <c r="G421" s="125" t="s">
        <v>296</v>
      </c>
      <c r="H421" s="135" t="s">
        <v>1615</v>
      </c>
      <c r="I421" s="121"/>
    </row>
    <row r="422" ht="15.75" customHeight="1">
      <c r="A422" s="121"/>
      <c r="B422" s="162" t="s">
        <v>286</v>
      </c>
      <c r="C422" s="165"/>
      <c r="D422" s="166" t="b">
        <v>0</v>
      </c>
      <c r="E422" s="160">
        <v>1227592.0</v>
      </c>
      <c r="F422" s="152" t="s">
        <v>543</v>
      </c>
      <c r="G422" s="125" t="s">
        <v>296</v>
      </c>
      <c r="H422" s="135" t="s">
        <v>1615</v>
      </c>
      <c r="I422" s="121"/>
    </row>
    <row r="423" ht="15.75" customHeight="1">
      <c r="A423" s="121"/>
      <c r="B423" s="162" t="s">
        <v>286</v>
      </c>
      <c r="C423" s="165"/>
      <c r="D423" s="166" t="b">
        <v>0</v>
      </c>
      <c r="E423" s="160">
        <v>1227593.0</v>
      </c>
      <c r="F423" s="161" t="s">
        <v>1232</v>
      </c>
      <c r="G423" s="125" t="s">
        <v>296</v>
      </c>
      <c r="H423" s="135" t="s">
        <v>1615</v>
      </c>
      <c r="I423" s="121"/>
    </row>
    <row r="424" ht="15.75" customHeight="1">
      <c r="A424" s="121"/>
      <c r="B424" s="162" t="s">
        <v>1190</v>
      </c>
      <c r="C424" s="158" t="s">
        <v>24</v>
      </c>
      <c r="D424" s="159" t="b">
        <v>1</v>
      </c>
      <c r="E424" s="160">
        <v>1227594.0</v>
      </c>
      <c r="F424" s="149" t="s">
        <v>397</v>
      </c>
      <c r="G424" s="150" t="s">
        <v>1199</v>
      </c>
      <c r="H424" s="135" t="s">
        <v>1615</v>
      </c>
      <c r="I424" s="121"/>
    </row>
    <row r="425" ht="15.75" customHeight="1">
      <c r="A425" s="121"/>
      <c r="B425" s="162" t="s">
        <v>322</v>
      </c>
      <c r="C425" s="165"/>
      <c r="D425" s="159" t="b">
        <v>1</v>
      </c>
      <c r="E425" s="160">
        <v>1227595.0</v>
      </c>
      <c r="F425" s="149" t="s">
        <v>397</v>
      </c>
      <c r="G425" s="150" t="s">
        <v>1203</v>
      </c>
      <c r="H425" s="135" t="s">
        <v>1615</v>
      </c>
      <c r="I425" s="121"/>
    </row>
    <row r="426" ht="15.75" customHeight="1">
      <c r="A426" s="121"/>
      <c r="B426" s="162" t="s">
        <v>1190</v>
      </c>
      <c r="C426" s="158" t="s">
        <v>24</v>
      </c>
      <c r="D426" s="159" t="b">
        <v>1</v>
      </c>
      <c r="E426" s="160">
        <v>1227596.0</v>
      </c>
      <c r="F426" s="149" t="s">
        <v>397</v>
      </c>
      <c r="G426" s="150" t="s">
        <v>1199</v>
      </c>
      <c r="H426" s="135" t="s">
        <v>1615</v>
      </c>
      <c r="I426" s="121"/>
    </row>
    <row r="427" ht="15.75" customHeight="1">
      <c r="A427" s="121"/>
      <c r="B427" s="162" t="s">
        <v>322</v>
      </c>
      <c r="C427" s="165"/>
      <c r="D427" s="159" t="b">
        <v>1</v>
      </c>
      <c r="E427" s="160">
        <v>1227597.0</v>
      </c>
      <c r="F427" s="149" t="s">
        <v>397</v>
      </c>
      <c r="G427" s="150" t="s">
        <v>1203</v>
      </c>
      <c r="H427" s="135" t="s">
        <v>1615</v>
      </c>
      <c r="I427" s="121"/>
    </row>
    <row r="428" ht="15.75" customHeight="1">
      <c r="A428" s="121"/>
      <c r="B428" s="162" t="s">
        <v>1190</v>
      </c>
      <c r="C428" s="158" t="s">
        <v>24</v>
      </c>
      <c r="D428" s="159" t="b">
        <v>1</v>
      </c>
      <c r="E428" s="160">
        <v>1227598.0</v>
      </c>
      <c r="F428" s="149" t="s">
        <v>397</v>
      </c>
      <c r="G428" s="150" t="s">
        <v>1199</v>
      </c>
      <c r="H428" s="135" t="s">
        <v>1615</v>
      </c>
      <c r="I428" s="121"/>
    </row>
    <row r="429" ht="15.75" customHeight="1">
      <c r="A429" s="121"/>
      <c r="B429" s="162" t="s">
        <v>1190</v>
      </c>
      <c r="C429" s="158" t="s">
        <v>24</v>
      </c>
      <c r="D429" s="159" t="b">
        <v>1</v>
      </c>
      <c r="E429" s="160">
        <v>1227599.0</v>
      </c>
      <c r="F429" s="149" t="s">
        <v>397</v>
      </c>
      <c r="G429" s="150" t="s">
        <v>1199</v>
      </c>
      <c r="H429" s="135" t="s">
        <v>1615</v>
      </c>
      <c r="I429" s="121"/>
    </row>
    <row r="430" ht="15.75" customHeight="1">
      <c r="A430" s="121"/>
      <c r="B430" s="162" t="s">
        <v>1190</v>
      </c>
      <c r="C430" s="158" t="s">
        <v>24</v>
      </c>
      <c r="D430" s="159" t="b">
        <v>1</v>
      </c>
      <c r="E430" s="160">
        <v>1288470.0</v>
      </c>
      <c r="F430" s="161" t="s">
        <v>397</v>
      </c>
      <c r="G430" s="125" t="s">
        <v>1191</v>
      </c>
      <c r="H430" s="135" t="s">
        <v>1616</v>
      </c>
      <c r="I430" s="121"/>
    </row>
    <row r="431" ht="15.75" customHeight="1">
      <c r="A431" s="121"/>
      <c r="B431" s="162" t="s">
        <v>322</v>
      </c>
      <c r="C431" s="165"/>
      <c r="D431" s="166" t="b">
        <v>0</v>
      </c>
      <c r="E431" s="160">
        <v>1403824.0</v>
      </c>
      <c r="F431" s="152" t="s">
        <v>1271</v>
      </c>
      <c r="G431" s="125" t="s">
        <v>296</v>
      </c>
      <c r="H431" s="135" t="s">
        <v>1617</v>
      </c>
      <c r="I431" s="121"/>
    </row>
    <row r="432" ht="15.75" customHeight="1">
      <c r="A432" s="121"/>
      <c r="B432" s="162" t="s">
        <v>1224</v>
      </c>
      <c r="C432" s="165"/>
      <c r="D432" s="166" t="b">
        <v>0</v>
      </c>
      <c r="E432" s="160">
        <v>1404478.0</v>
      </c>
      <c r="F432" s="152" t="s">
        <v>1225</v>
      </c>
      <c r="G432" s="125" t="s">
        <v>1317</v>
      </c>
      <c r="H432" s="135" t="s">
        <v>1618</v>
      </c>
      <c r="I432" s="121"/>
    </row>
    <row r="433" ht="15.75" customHeight="1">
      <c r="A433" s="121"/>
      <c r="B433" s="162" t="s">
        <v>286</v>
      </c>
      <c r="C433" s="165"/>
      <c r="D433" s="166" t="b">
        <v>0</v>
      </c>
      <c r="E433" s="160">
        <v>1416027.0</v>
      </c>
      <c r="F433" s="152" t="s">
        <v>543</v>
      </c>
      <c r="G433" s="125" t="s">
        <v>296</v>
      </c>
      <c r="H433" s="135" t="s">
        <v>1619</v>
      </c>
      <c r="I433" s="121"/>
    </row>
    <row r="434" ht="15.75" customHeight="1">
      <c r="A434" s="121"/>
      <c r="B434" s="162" t="s">
        <v>1406</v>
      </c>
      <c r="C434" s="165"/>
      <c r="D434" s="166" t="b">
        <v>0</v>
      </c>
      <c r="E434" s="160">
        <v>1416028.0</v>
      </c>
      <c r="F434" s="152" t="s">
        <v>543</v>
      </c>
      <c r="G434" s="125" t="s">
        <v>296</v>
      </c>
      <c r="H434" s="135" t="s">
        <v>1619</v>
      </c>
      <c r="I434" s="121"/>
    </row>
    <row r="435" ht="15.75" customHeight="1">
      <c r="A435" s="121"/>
      <c r="B435" s="162" t="s">
        <v>1406</v>
      </c>
      <c r="C435" s="165"/>
      <c r="D435" s="166" t="b">
        <v>0</v>
      </c>
      <c r="E435" s="160">
        <v>1416029.0</v>
      </c>
      <c r="F435" s="152" t="s">
        <v>543</v>
      </c>
      <c r="G435" s="125" t="s">
        <v>296</v>
      </c>
      <c r="H435" s="135" t="s">
        <v>1619</v>
      </c>
      <c r="I435" s="121"/>
    </row>
    <row r="436" ht="15.75" customHeight="1">
      <c r="A436" s="121"/>
      <c r="B436" s="162" t="s">
        <v>286</v>
      </c>
      <c r="C436" s="165"/>
      <c r="D436" s="166" t="b">
        <v>0</v>
      </c>
      <c r="E436" s="160">
        <v>1416030.0</v>
      </c>
      <c r="F436" s="152" t="s">
        <v>1232</v>
      </c>
      <c r="G436" s="125" t="s">
        <v>296</v>
      </c>
      <c r="H436" s="135" t="s">
        <v>1619</v>
      </c>
      <c r="I436" s="121"/>
    </row>
    <row r="437" ht="15.75" customHeight="1">
      <c r="A437" s="121"/>
      <c r="B437" s="162" t="s">
        <v>286</v>
      </c>
      <c r="C437" s="165"/>
      <c r="D437" s="166" t="b">
        <v>0</v>
      </c>
      <c r="E437" s="160">
        <v>1416031.0</v>
      </c>
      <c r="F437" s="161" t="s">
        <v>1232</v>
      </c>
      <c r="G437" s="125" t="s">
        <v>296</v>
      </c>
      <c r="H437" s="135" t="s">
        <v>1619</v>
      </c>
      <c r="I437" s="121"/>
    </row>
    <row r="438" ht="15.75" customHeight="1">
      <c r="A438" s="121"/>
      <c r="B438" s="162" t="s">
        <v>1185</v>
      </c>
      <c r="C438" s="165"/>
      <c r="D438" s="166" t="b">
        <v>0</v>
      </c>
      <c r="E438" s="160">
        <v>1416032.0</v>
      </c>
      <c r="F438" s="152" t="s">
        <v>543</v>
      </c>
      <c r="G438" s="125" t="s">
        <v>296</v>
      </c>
      <c r="H438" s="135" t="s">
        <v>1619</v>
      </c>
      <c r="I438" s="121"/>
    </row>
    <row r="439" ht="15.75" customHeight="1">
      <c r="A439" s="121"/>
      <c r="B439" s="162" t="s">
        <v>286</v>
      </c>
      <c r="C439" s="165"/>
      <c r="D439" s="166" t="b">
        <v>0</v>
      </c>
      <c r="E439" s="160">
        <v>1416033.0</v>
      </c>
      <c r="F439" s="161" t="s">
        <v>1232</v>
      </c>
      <c r="G439" s="125" t="s">
        <v>296</v>
      </c>
      <c r="H439" s="135" t="s">
        <v>1619</v>
      </c>
      <c r="I439" s="121"/>
    </row>
    <row r="440" ht="15.75" customHeight="1">
      <c r="A440" s="121"/>
      <c r="B440" s="162" t="s">
        <v>286</v>
      </c>
      <c r="C440" s="165"/>
      <c r="D440" s="166" t="b">
        <v>0</v>
      </c>
      <c r="E440" s="160">
        <v>1416034.0</v>
      </c>
      <c r="F440" s="152" t="s">
        <v>1232</v>
      </c>
      <c r="G440" s="125" t="s">
        <v>296</v>
      </c>
      <c r="H440" s="135" t="s">
        <v>1619</v>
      </c>
      <c r="I440" s="121"/>
    </row>
    <row r="441" ht="15.75" customHeight="1">
      <c r="A441" s="121"/>
      <c r="B441" s="162" t="s">
        <v>322</v>
      </c>
      <c r="C441" s="165"/>
      <c r="D441" s="166" t="b">
        <v>0</v>
      </c>
      <c r="E441" s="160">
        <v>1440484.0</v>
      </c>
      <c r="F441" s="152" t="s">
        <v>1225</v>
      </c>
      <c r="G441" s="125" t="s">
        <v>296</v>
      </c>
      <c r="H441" s="135" t="s">
        <v>1620</v>
      </c>
      <c r="I441" s="121"/>
    </row>
    <row r="442" ht="15.75" customHeight="1">
      <c r="A442" s="121"/>
      <c r="B442" s="162" t="s">
        <v>1190</v>
      </c>
      <c r="C442" s="165"/>
      <c r="D442" s="166" t="b">
        <v>0</v>
      </c>
      <c r="E442" s="160">
        <v>1442956.0</v>
      </c>
      <c r="F442" s="152" t="s">
        <v>1225</v>
      </c>
      <c r="G442" s="125" t="s">
        <v>296</v>
      </c>
      <c r="H442" s="135" t="s">
        <v>1621</v>
      </c>
      <c r="I442" s="121"/>
    </row>
    <row r="443" ht="15.75" customHeight="1">
      <c r="A443" s="121"/>
      <c r="B443" s="162" t="s">
        <v>286</v>
      </c>
      <c r="C443" s="165"/>
      <c r="D443" s="166" t="b">
        <v>0</v>
      </c>
      <c r="E443" s="160">
        <v>1447994.0</v>
      </c>
      <c r="F443" s="152" t="s">
        <v>1225</v>
      </c>
      <c r="G443" s="125" t="s">
        <v>296</v>
      </c>
      <c r="H443" s="135" t="s">
        <v>1622</v>
      </c>
      <c r="I443" s="121"/>
    </row>
    <row r="444" ht="15.75" customHeight="1">
      <c r="A444" s="121"/>
      <c r="B444" s="162" t="s">
        <v>1245</v>
      </c>
      <c r="C444" s="165"/>
      <c r="D444" s="166" t="b">
        <v>0</v>
      </c>
      <c r="E444" s="160">
        <v>1451447.0</v>
      </c>
      <c r="F444" s="152" t="s">
        <v>1225</v>
      </c>
      <c r="G444" s="125" t="s">
        <v>296</v>
      </c>
      <c r="H444" s="135" t="s">
        <v>1623</v>
      </c>
      <c r="I444" s="121"/>
    </row>
    <row r="445" ht="15.75" customHeight="1">
      <c r="A445" s="121"/>
      <c r="B445" s="162" t="s">
        <v>322</v>
      </c>
      <c r="C445" s="165"/>
      <c r="D445" s="166" t="b">
        <v>0</v>
      </c>
      <c r="E445" s="160">
        <v>1454382.0</v>
      </c>
      <c r="F445" s="152" t="s">
        <v>1225</v>
      </c>
      <c r="G445" s="125" t="s">
        <v>296</v>
      </c>
      <c r="H445" s="135" t="s">
        <v>1624</v>
      </c>
      <c r="I445" s="121"/>
    </row>
    <row r="446" ht="15.75" customHeight="1">
      <c r="A446" s="121"/>
      <c r="B446" s="162" t="s">
        <v>286</v>
      </c>
      <c r="C446" s="165"/>
      <c r="D446" s="166" t="b">
        <v>0</v>
      </c>
      <c r="E446" s="160">
        <v>1456365.0</v>
      </c>
      <c r="F446" s="152" t="s">
        <v>1225</v>
      </c>
      <c r="G446" s="125" t="s">
        <v>296</v>
      </c>
      <c r="H446" s="135" t="s">
        <v>1625</v>
      </c>
      <c r="I446" s="121"/>
    </row>
    <row r="447" ht="15.75" customHeight="1">
      <c r="A447" s="121"/>
      <c r="B447" s="162" t="s">
        <v>1190</v>
      </c>
      <c r="C447" s="165"/>
      <c r="D447" s="159" t="b">
        <v>1</v>
      </c>
      <c r="E447" s="160">
        <v>1461137.0</v>
      </c>
      <c r="F447" s="149" t="s">
        <v>1232</v>
      </c>
      <c r="G447" s="125"/>
      <c r="H447" s="135" t="s">
        <v>1626</v>
      </c>
      <c r="I447" s="121"/>
    </row>
    <row r="448" ht="15.75" customHeight="1">
      <c r="A448" s="121"/>
      <c r="B448" s="162" t="s">
        <v>286</v>
      </c>
      <c r="C448" s="165"/>
      <c r="D448" s="166" t="b">
        <v>0</v>
      </c>
      <c r="E448" s="160">
        <v>1461138.0</v>
      </c>
      <c r="F448" s="161" t="s">
        <v>1232</v>
      </c>
      <c r="G448" s="125" t="s">
        <v>296</v>
      </c>
      <c r="H448" s="135" t="s">
        <v>1626</v>
      </c>
      <c r="I448" s="121"/>
    </row>
    <row r="449" ht="15.75" customHeight="1">
      <c r="A449" s="121"/>
      <c r="B449" s="162" t="s">
        <v>1406</v>
      </c>
      <c r="C449" s="165"/>
      <c r="D449" s="166" t="b">
        <v>0</v>
      </c>
      <c r="E449" s="160">
        <v>1461139.0</v>
      </c>
      <c r="F449" s="152" t="s">
        <v>543</v>
      </c>
      <c r="G449" s="125" t="s">
        <v>296</v>
      </c>
      <c r="H449" s="135" t="s">
        <v>1626</v>
      </c>
      <c r="I449" s="121"/>
    </row>
    <row r="450" ht="15.75" customHeight="1">
      <c r="A450" s="121"/>
      <c r="B450" s="162" t="s">
        <v>1185</v>
      </c>
      <c r="C450" s="165"/>
      <c r="D450" s="166" t="b">
        <v>0</v>
      </c>
      <c r="E450" s="160">
        <v>1461196.0</v>
      </c>
      <c r="F450" s="152" t="s">
        <v>543</v>
      </c>
      <c r="G450" s="125" t="s">
        <v>296</v>
      </c>
      <c r="H450" s="135" t="s">
        <v>1627</v>
      </c>
      <c r="I450" s="121"/>
    </row>
    <row r="451" ht="15.75" customHeight="1">
      <c r="A451" s="121"/>
      <c r="B451" s="162" t="s">
        <v>1241</v>
      </c>
      <c r="C451" s="165"/>
      <c r="D451" s="166" t="b">
        <v>0</v>
      </c>
      <c r="E451" s="160">
        <v>1461197.0</v>
      </c>
      <c r="F451" s="152" t="s">
        <v>543</v>
      </c>
      <c r="G451" s="125" t="s">
        <v>296</v>
      </c>
      <c r="H451" s="135" t="s">
        <v>1627</v>
      </c>
      <c r="I451" s="121"/>
    </row>
    <row r="452" ht="15.75" customHeight="1">
      <c r="A452" s="121"/>
      <c r="B452" s="157" t="s">
        <v>286</v>
      </c>
      <c r="C452" s="165"/>
      <c r="D452" s="159" t="b">
        <v>1</v>
      </c>
      <c r="E452" s="160">
        <v>1461231.0</v>
      </c>
      <c r="F452" s="152" t="s">
        <v>543</v>
      </c>
      <c r="G452" s="125" t="s">
        <v>296</v>
      </c>
      <c r="H452" s="135" t="s">
        <v>1628</v>
      </c>
      <c r="I452" s="121"/>
    </row>
    <row r="453" ht="15.75" customHeight="1">
      <c r="A453" s="121"/>
      <c r="B453" s="162" t="s">
        <v>1235</v>
      </c>
      <c r="C453" s="165"/>
      <c r="D453" s="166" t="b">
        <v>0</v>
      </c>
      <c r="E453" s="160">
        <v>1461232.0</v>
      </c>
      <c r="F453" s="152" t="s">
        <v>543</v>
      </c>
      <c r="G453" s="125" t="s">
        <v>296</v>
      </c>
      <c r="H453" s="135" t="s">
        <v>1628</v>
      </c>
      <c r="I453" s="121"/>
    </row>
    <row r="454" ht="15.75" customHeight="1">
      <c r="A454" s="121"/>
      <c r="B454" s="162" t="s">
        <v>322</v>
      </c>
      <c r="C454" s="165"/>
      <c r="D454" s="166" t="b">
        <v>0</v>
      </c>
      <c r="E454" s="160">
        <v>1461887.0</v>
      </c>
      <c r="F454" s="152" t="s">
        <v>1225</v>
      </c>
      <c r="G454" s="125" t="s">
        <v>296</v>
      </c>
      <c r="H454" s="135" t="s">
        <v>1629</v>
      </c>
      <c r="I454" s="121"/>
    </row>
    <row r="455" ht="15.75" customHeight="1">
      <c r="A455" s="121"/>
      <c r="B455" s="162" t="s">
        <v>1413</v>
      </c>
      <c r="C455" s="165"/>
      <c r="D455" s="166" t="b">
        <v>0</v>
      </c>
      <c r="E455" s="160">
        <v>1486290.0</v>
      </c>
      <c r="F455" s="152" t="s">
        <v>1183</v>
      </c>
      <c r="G455" s="125" t="s">
        <v>296</v>
      </c>
      <c r="H455" s="135" t="s">
        <v>1630</v>
      </c>
      <c r="I455" s="121"/>
    </row>
    <row r="456" ht="15.75" customHeight="1">
      <c r="A456" s="121"/>
      <c r="B456" s="162" t="s">
        <v>1254</v>
      </c>
      <c r="C456" s="165"/>
      <c r="D456" s="166" t="b">
        <v>0</v>
      </c>
      <c r="E456" s="160">
        <v>1486291.0</v>
      </c>
      <c r="F456" s="152" t="s">
        <v>1183</v>
      </c>
      <c r="G456" s="125" t="s">
        <v>296</v>
      </c>
      <c r="H456" s="135" t="s">
        <v>1630</v>
      </c>
      <c r="I456" s="121"/>
    </row>
    <row r="457" ht="15.75" customHeight="1">
      <c r="A457" s="121"/>
      <c r="B457" s="162" t="s">
        <v>1254</v>
      </c>
      <c r="C457" s="165"/>
      <c r="D457" s="166" t="b">
        <v>0</v>
      </c>
      <c r="E457" s="160">
        <v>1486292.0</v>
      </c>
      <c r="F457" s="152" t="s">
        <v>1183</v>
      </c>
      <c r="G457" s="125" t="s">
        <v>296</v>
      </c>
      <c r="H457" s="135" t="s">
        <v>1630</v>
      </c>
      <c r="I457" s="121"/>
    </row>
    <row r="458" ht="15.75" customHeight="1">
      <c r="A458" s="121"/>
      <c r="B458" s="162" t="s">
        <v>1190</v>
      </c>
      <c r="C458" s="158" t="s">
        <v>24</v>
      </c>
      <c r="D458" s="159" t="b">
        <v>1</v>
      </c>
      <c r="E458" s="160">
        <v>1486293.0</v>
      </c>
      <c r="F458" s="149" t="s">
        <v>397</v>
      </c>
      <c r="G458" s="150" t="s">
        <v>1199</v>
      </c>
      <c r="H458" s="135" t="s">
        <v>1630</v>
      </c>
      <c r="I458" s="121"/>
    </row>
    <row r="459" ht="15.75" customHeight="1">
      <c r="A459" s="121"/>
      <c r="B459" s="162" t="s">
        <v>1190</v>
      </c>
      <c r="C459" s="158" t="s">
        <v>24</v>
      </c>
      <c r="D459" s="159" t="b">
        <v>1</v>
      </c>
      <c r="E459" s="160">
        <v>1486294.0</v>
      </c>
      <c r="F459" s="149" t="s">
        <v>397</v>
      </c>
      <c r="G459" s="150" t="s">
        <v>1199</v>
      </c>
      <c r="H459" s="135" t="s">
        <v>1630</v>
      </c>
      <c r="I459" s="121"/>
    </row>
    <row r="460" ht="15.75" customHeight="1">
      <c r="A460" s="121"/>
      <c r="B460" s="162" t="s">
        <v>1190</v>
      </c>
      <c r="C460" s="158" t="s">
        <v>24</v>
      </c>
      <c r="D460" s="159" t="b">
        <v>1</v>
      </c>
      <c r="E460" s="160">
        <v>1486295.0</v>
      </c>
      <c r="F460" s="149" t="s">
        <v>397</v>
      </c>
      <c r="G460" s="150" t="s">
        <v>1199</v>
      </c>
      <c r="H460" s="135" t="s">
        <v>1630</v>
      </c>
      <c r="I460" s="121"/>
    </row>
    <row r="461" ht="15.75" customHeight="1">
      <c r="A461" s="121"/>
      <c r="B461" s="162" t="s">
        <v>1190</v>
      </c>
      <c r="C461" s="158" t="s">
        <v>24</v>
      </c>
      <c r="D461" s="159" t="b">
        <v>1</v>
      </c>
      <c r="E461" s="160">
        <v>1486296.0</v>
      </c>
      <c r="F461" s="149" t="s">
        <v>397</v>
      </c>
      <c r="G461" s="150" t="s">
        <v>1199</v>
      </c>
      <c r="H461" s="135" t="s">
        <v>1630</v>
      </c>
      <c r="I461" s="121"/>
    </row>
    <row r="462" ht="15.75" customHeight="1">
      <c r="A462" s="121"/>
      <c r="B462" s="162" t="s">
        <v>1190</v>
      </c>
      <c r="C462" s="158" t="s">
        <v>24</v>
      </c>
      <c r="D462" s="159" t="b">
        <v>1</v>
      </c>
      <c r="E462" s="160">
        <v>1486297.0</v>
      </c>
      <c r="F462" s="149" t="s">
        <v>397</v>
      </c>
      <c r="G462" s="150" t="s">
        <v>1199</v>
      </c>
      <c r="H462" s="135" t="s">
        <v>1630</v>
      </c>
      <c r="I462" s="121"/>
    </row>
    <row r="463" ht="15.75" customHeight="1">
      <c r="A463" s="121"/>
      <c r="B463" s="162" t="s">
        <v>1190</v>
      </c>
      <c r="C463" s="158" t="s">
        <v>24</v>
      </c>
      <c r="D463" s="159" t="b">
        <v>1</v>
      </c>
      <c r="E463" s="160">
        <v>1486298.0</v>
      </c>
      <c r="F463" s="149" t="s">
        <v>397</v>
      </c>
      <c r="G463" s="150" t="s">
        <v>1199</v>
      </c>
      <c r="H463" s="135" t="s">
        <v>1630</v>
      </c>
      <c r="I463" s="121"/>
    </row>
    <row r="464" ht="15.75" customHeight="1">
      <c r="A464" s="121"/>
      <c r="B464" s="162" t="s">
        <v>1190</v>
      </c>
      <c r="C464" s="158" t="s">
        <v>24</v>
      </c>
      <c r="D464" s="159" t="b">
        <v>1</v>
      </c>
      <c r="E464" s="160">
        <v>1486299.0</v>
      </c>
      <c r="F464" s="149" t="s">
        <v>397</v>
      </c>
      <c r="G464" s="150" t="s">
        <v>1199</v>
      </c>
      <c r="H464" s="135" t="s">
        <v>1630</v>
      </c>
      <c r="I464" s="121"/>
    </row>
    <row r="465" ht="15.75" customHeight="1">
      <c r="A465" s="121"/>
      <c r="B465" s="162" t="s">
        <v>1190</v>
      </c>
      <c r="C465" s="158" t="s">
        <v>24</v>
      </c>
      <c r="D465" s="159" t="b">
        <v>1</v>
      </c>
      <c r="E465" s="160">
        <v>1486300.0</v>
      </c>
      <c r="F465" s="149" t="s">
        <v>397</v>
      </c>
      <c r="G465" s="150" t="s">
        <v>1199</v>
      </c>
      <c r="H465" s="135" t="s">
        <v>1630</v>
      </c>
      <c r="I465" s="121"/>
    </row>
    <row r="466" ht="15.75" customHeight="1">
      <c r="A466" s="121"/>
      <c r="B466" s="162" t="s">
        <v>1190</v>
      </c>
      <c r="C466" s="158" t="s">
        <v>24</v>
      </c>
      <c r="D466" s="159" t="b">
        <v>1</v>
      </c>
      <c r="E466" s="160">
        <v>1486301.0</v>
      </c>
      <c r="F466" s="149" t="s">
        <v>397</v>
      </c>
      <c r="G466" s="150" t="s">
        <v>1199</v>
      </c>
      <c r="H466" s="135" t="s">
        <v>1630</v>
      </c>
      <c r="I466" s="121"/>
    </row>
    <row r="467" ht="15.75" customHeight="1">
      <c r="A467" s="121"/>
      <c r="B467" s="162" t="s">
        <v>1190</v>
      </c>
      <c r="C467" s="158" t="s">
        <v>24</v>
      </c>
      <c r="D467" s="159" t="b">
        <v>1</v>
      </c>
      <c r="E467" s="160">
        <v>1486302.0</v>
      </c>
      <c r="F467" s="149" t="s">
        <v>397</v>
      </c>
      <c r="G467" s="150" t="s">
        <v>1199</v>
      </c>
      <c r="H467" s="135" t="s">
        <v>1630</v>
      </c>
      <c r="I467" s="121"/>
    </row>
    <row r="468" ht="15.75" customHeight="1">
      <c r="A468" s="121"/>
      <c r="B468" s="162" t="s">
        <v>1190</v>
      </c>
      <c r="C468" s="158" t="s">
        <v>24</v>
      </c>
      <c r="D468" s="159" t="b">
        <v>1</v>
      </c>
      <c r="E468" s="160">
        <v>1486303.0</v>
      </c>
      <c r="F468" s="149" t="s">
        <v>397</v>
      </c>
      <c r="G468" s="150" t="s">
        <v>1199</v>
      </c>
      <c r="H468" s="135" t="s">
        <v>1630</v>
      </c>
      <c r="I468" s="121"/>
    </row>
    <row r="469" ht="15.75" customHeight="1">
      <c r="A469" s="121"/>
      <c r="B469" s="162" t="s">
        <v>1190</v>
      </c>
      <c r="C469" s="158" t="s">
        <v>24</v>
      </c>
      <c r="D469" s="159" t="b">
        <v>1</v>
      </c>
      <c r="E469" s="160">
        <v>1486304.0</v>
      </c>
      <c r="F469" s="149" t="s">
        <v>397</v>
      </c>
      <c r="G469" s="150" t="s">
        <v>1199</v>
      </c>
      <c r="H469" s="135" t="s">
        <v>1630</v>
      </c>
      <c r="I469" s="121"/>
    </row>
    <row r="470" ht="15.75" customHeight="1">
      <c r="A470" s="121"/>
      <c r="B470" s="162" t="s">
        <v>322</v>
      </c>
      <c r="C470" s="165"/>
      <c r="D470" s="159" t="b">
        <v>1</v>
      </c>
      <c r="E470" s="160">
        <v>1486374.0</v>
      </c>
      <c r="F470" s="149" t="s">
        <v>397</v>
      </c>
      <c r="G470" s="150" t="s">
        <v>1203</v>
      </c>
      <c r="H470" s="135" t="s">
        <v>1631</v>
      </c>
      <c r="I470" s="121"/>
    </row>
    <row r="471" ht="15.75" customHeight="1">
      <c r="A471" s="121"/>
      <c r="B471" s="162" t="s">
        <v>1254</v>
      </c>
      <c r="C471" s="165"/>
      <c r="D471" s="166" t="b">
        <v>0</v>
      </c>
      <c r="E471" s="160">
        <v>1486390.0</v>
      </c>
      <c r="F471" s="152" t="s">
        <v>543</v>
      </c>
      <c r="G471" s="125" t="s">
        <v>296</v>
      </c>
      <c r="H471" s="135" t="s">
        <v>1632</v>
      </c>
      <c r="I471" s="121"/>
    </row>
    <row r="472" ht="15.75" customHeight="1">
      <c r="A472" s="121"/>
      <c r="B472" s="162" t="s">
        <v>1413</v>
      </c>
      <c r="C472" s="165"/>
      <c r="D472" s="166" t="b">
        <v>0</v>
      </c>
      <c r="E472" s="160">
        <v>1486391.0</v>
      </c>
      <c r="F472" s="152" t="s">
        <v>543</v>
      </c>
      <c r="G472" s="125" t="s">
        <v>296</v>
      </c>
      <c r="H472" s="135" t="s">
        <v>1632</v>
      </c>
      <c r="I472" s="121"/>
    </row>
    <row r="473" ht="15.75" customHeight="1">
      <c r="A473" s="121"/>
      <c r="B473" s="162" t="s">
        <v>1252</v>
      </c>
      <c r="C473" s="165"/>
      <c r="D473" s="166" t="b">
        <v>0</v>
      </c>
      <c r="E473" s="160">
        <v>1486393.0</v>
      </c>
      <c r="F473" s="152" t="s">
        <v>543</v>
      </c>
      <c r="G473" s="125" t="s">
        <v>296</v>
      </c>
      <c r="H473" s="135" t="s">
        <v>1633</v>
      </c>
      <c r="I473" s="121"/>
    </row>
    <row r="474" ht="15.75" customHeight="1">
      <c r="A474" s="121"/>
      <c r="B474" s="162" t="s">
        <v>1235</v>
      </c>
      <c r="C474" s="165"/>
      <c r="D474" s="166" t="b">
        <v>0</v>
      </c>
      <c r="E474" s="160">
        <v>1486397.0</v>
      </c>
      <c r="F474" s="152" t="s">
        <v>543</v>
      </c>
      <c r="G474" s="125" t="s">
        <v>296</v>
      </c>
      <c r="H474" s="135" t="s">
        <v>1634</v>
      </c>
      <c r="I474" s="121"/>
    </row>
    <row r="475" ht="15.75" customHeight="1">
      <c r="A475" s="121"/>
      <c r="B475" s="157" t="s">
        <v>286</v>
      </c>
      <c r="C475" s="165"/>
      <c r="D475" s="159" t="b">
        <v>1</v>
      </c>
      <c r="E475" s="160">
        <v>1486398.0</v>
      </c>
      <c r="F475" s="152" t="s">
        <v>543</v>
      </c>
      <c r="G475" s="125" t="s">
        <v>296</v>
      </c>
      <c r="H475" s="135" t="s">
        <v>1634</v>
      </c>
      <c r="I475" s="121"/>
    </row>
    <row r="476" ht="15.75" customHeight="1">
      <c r="A476" s="121"/>
      <c r="B476" s="157" t="s">
        <v>1366</v>
      </c>
      <c r="C476" s="165"/>
      <c r="D476" s="166" t="b">
        <v>0</v>
      </c>
      <c r="E476" s="160">
        <v>1486399.0</v>
      </c>
      <c r="F476" s="152" t="s">
        <v>543</v>
      </c>
      <c r="G476" s="125" t="s">
        <v>296</v>
      </c>
      <c r="H476" s="135" t="s">
        <v>1635</v>
      </c>
      <c r="I476" s="121"/>
    </row>
    <row r="477" ht="15.75" customHeight="1">
      <c r="A477" s="121"/>
      <c r="B477" s="162" t="s">
        <v>1413</v>
      </c>
      <c r="C477" s="165"/>
      <c r="D477" s="166" t="b">
        <v>0</v>
      </c>
      <c r="E477" s="160">
        <v>1486400.0</v>
      </c>
      <c r="F477" s="152" t="s">
        <v>543</v>
      </c>
      <c r="G477" s="125" t="s">
        <v>296</v>
      </c>
      <c r="H477" s="135" t="s">
        <v>1636</v>
      </c>
      <c r="I477" s="121"/>
    </row>
    <row r="478" ht="15.75" customHeight="1">
      <c r="A478" s="121"/>
      <c r="B478" s="162" t="s">
        <v>1366</v>
      </c>
      <c r="C478" s="165"/>
      <c r="D478" s="166" t="b">
        <v>0</v>
      </c>
      <c r="E478" s="160">
        <v>1488270.0</v>
      </c>
      <c r="F478" s="152" t="s">
        <v>543</v>
      </c>
      <c r="G478" s="125" t="s">
        <v>296</v>
      </c>
      <c r="H478" s="135" t="s">
        <v>1637</v>
      </c>
      <c r="I478" s="121"/>
    </row>
    <row r="479" ht="15.75" customHeight="1">
      <c r="A479" s="121"/>
      <c r="B479" s="162" t="s">
        <v>1254</v>
      </c>
      <c r="C479" s="165"/>
      <c r="D479" s="166" t="b">
        <v>0</v>
      </c>
      <c r="E479" s="160">
        <v>1488271.0</v>
      </c>
      <c r="F479" s="152" t="s">
        <v>543</v>
      </c>
      <c r="G479" s="125" t="s">
        <v>296</v>
      </c>
      <c r="H479" s="135" t="s">
        <v>1637</v>
      </c>
      <c r="I479" s="121"/>
    </row>
    <row r="480" ht="15.75" customHeight="1">
      <c r="A480" s="121"/>
      <c r="B480" s="162" t="s">
        <v>1452</v>
      </c>
      <c r="C480" s="158">
        <v>66.0</v>
      </c>
      <c r="D480" s="159" t="b">
        <v>1</v>
      </c>
      <c r="E480" s="167">
        <v>1562803.0</v>
      </c>
      <c r="F480" s="152" t="s">
        <v>543</v>
      </c>
      <c r="G480" s="125" t="s">
        <v>296</v>
      </c>
      <c r="H480" s="135" t="s">
        <v>1638</v>
      </c>
      <c r="I480" s="121"/>
    </row>
    <row r="481" ht="15.75" customHeight="1">
      <c r="A481" s="121"/>
      <c r="B481" s="162" t="s">
        <v>1452</v>
      </c>
      <c r="C481" s="158">
        <v>66.0</v>
      </c>
      <c r="D481" s="159" t="b">
        <v>1</v>
      </c>
      <c r="E481" s="167">
        <v>1562804.0</v>
      </c>
      <c r="F481" s="152" t="s">
        <v>543</v>
      </c>
      <c r="G481" s="125" t="s">
        <v>296</v>
      </c>
      <c r="H481" s="135" t="s">
        <v>1639</v>
      </c>
      <c r="I481" s="121"/>
    </row>
    <row r="482" ht="15.75" customHeight="1">
      <c r="A482" s="121"/>
      <c r="B482" s="162" t="s">
        <v>1452</v>
      </c>
      <c r="C482" s="158">
        <v>62.0</v>
      </c>
      <c r="D482" s="159" t="b">
        <v>1</v>
      </c>
      <c r="E482" s="167">
        <v>1562805.0</v>
      </c>
      <c r="F482" s="152" t="s">
        <v>543</v>
      </c>
      <c r="G482" s="125" t="s">
        <v>296</v>
      </c>
      <c r="H482" s="135" t="s">
        <v>1640</v>
      </c>
      <c r="I482" s="121"/>
    </row>
    <row r="483" ht="15.75" customHeight="1">
      <c r="A483" s="121"/>
      <c r="B483" s="162" t="s">
        <v>1452</v>
      </c>
      <c r="C483" s="158">
        <v>62.0</v>
      </c>
      <c r="D483" s="159" t="b">
        <v>1</v>
      </c>
      <c r="E483" s="167">
        <v>1562806.0</v>
      </c>
      <c r="F483" s="152" t="s">
        <v>543</v>
      </c>
      <c r="G483" s="125" t="s">
        <v>296</v>
      </c>
      <c r="H483" s="135" t="s">
        <v>1641</v>
      </c>
      <c r="I483" s="121"/>
    </row>
    <row r="484" ht="15.75" customHeight="1">
      <c r="A484" s="121"/>
      <c r="B484" s="162" t="s">
        <v>1452</v>
      </c>
      <c r="C484" s="158">
        <v>63.0</v>
      </c>
      <c r="D484" s="159" t="b">
        <v>1</v>
      </c>
      <c r="E484" s="167">
        <v>1562807.0</v>
      </c>
      <c r="F484" s="152" t="s">
        <v>543</v>
      </c>
      <c r="G484" s="125" t="s">
        <v>296</v>
      </c>
      <c r="H484" s="135" t="s">
        <v>1642</v>
      </c>
      <c r="I484" s="121"/>
    </row>
    <row r="485" ht="15.75" customHeight="1">
      <c r="A485" s="121"/>
      <c r="B485" s="162" t="s">
        <v>1452</v>
      </c>
      <c r="C485" s="158">
        <v>63.0</v>
      </c>
      <c r="D485" s="159" t="b">
        <v>1</v>
      </c>
      <c r="E485" s="167">
        <v>1562808.0</v>
      </c>
      <c r="F485" s="152" t="s">
        <v>543</v>
      </c>
      <c r="G485" s="125" t="s">
        <v>296</v>
      </c>
      <c r="H485" s="135" t="s">
        <v>1643</v>
      </c>
      <c r="I485" s="121"/>
    </row>
    <row r="486" ht="15.75" customHeight="1">
      <c r="A486" s="121"/>
      <c r="B486" s="162" t="s">
        <v>1452</v>
      </c>
      <c r="C486" s="158">
        <v>62.0</v>
      </c>
      <c r="D486" s="159" t="b">
        <v>1</v>
      </c>
      <c r="E486" s="167">
        <v>1562809.0</v>
      </c>
      <c r="F486" s="152" t="s">
        <v>543</v>
      </c>
      <c r="G486" s="125" t="s">
        <v>296</v>
      </c>
      <c r="H486" s="135" t="s">
        <v>1644</v>
      </c>
      <c r="I486" s="121"/>
    </row>
    <row r="487" ht="15.75" customHeight="1">
      <c r="A487" s="121"/>
      <c r="B487" s="162" t="s">
        <v>1452</v>
      </c>
      <c r="C487" s="158">
        <v>63.0</v>
      </c>
      <c r="D487" s="159" t="b">
        <v>1</v>
      </c>
      <c r="E487" s="167">
        <v>1562810.0</v>
      </c>
      <c r="F487" s="152" t="s">
        <v>543</v>
      </c>
      <c r="G487" s="125" t="s">
        <v>296</v>
      </c>
      <c r="H487" s="135" t="s">
        <v>1645</v>
      </c>
      <c r="I487" s="121"/>
    </row>
    <row r="488" ht="15.75" customHeight="1">
      <c r="A488" s="121"/>
      <c r="B488" s="157" t="s">
        <v>1452</v>
      </c>
      <c r="C488" s="158">
        <v>63.0</v>
      </c>
      <c r="D488" s="159" t="b">
        <v>1</v>
      </c>
      <c r="E488" s="167">
        <v>1562811.0</v>
      </c>
      <c r="F488" s="152" t="s">
        <v>543</v>
      </c>
      <c r="G488" s="125" t="s">
        <v>296</v>
      </c>
      <c r="H488" s="135" t="s">
        <v>1646</v>
      </c>
      <c r="I488" s="121"/>
    </row>
    <row r="489" ht="15.75" customHeight="1">
      <c r="A489" s="121"/>
      <c r="B489" s="157" t="s">
        <v>1366</v>
      </c>
      <c r="C489" s="158">
        <v>62.0</v>
      </c>
      <c r="D489" s="159" t="b">
        <v>1</v>
      </c>
      <c r="E489" s="167">
        <v>1562812.0</v>
      </c>
      <c r="F489" s="152" t="s">
        <v>543</v>
      </c>
      <c r="G489" s="125" t="s">
        <v>296</v>
      </c>
      <c r="H489" s="135" t="s">
        <v>1647</v>
      </c>
      <c r="I489" s="121"/>
    </row>
    <row r="490" ht="15.75" customHeight="1">
      <c r="A490" s="121"/>
      <c r="B490" s="157" t="s">
        <v>1366</v>
      </c>
      <c r="C490" s="158">
        <v>63.0</v>
      </c>
      <c r="D490" s="159" t="b">
        <v>1</v>
      </c>
      <c r="E490" s="167">
        <v>1562813.0</v>
      </c>
      <c r="F490" s="152" t="s">
        <v>543</v>
      </c>
      <c r="G490" s="125" t="s">
        <v>296</v>
      </c>
      <c r="H490" s="135" t="s">
        <v>1648</v>
      </c>
      <c r="I490" s="121"/>
    </row>
    <row r="491" ht="15.75" customHeight="1">
      <c r="A491" s="121"/>
      <c r="B491" s="157" t="s">
        <v>1366</v>
      </c>
      <c r="C491" s="158">
        <v>63.0</v>
      </c>
      <c r="D491" s="159" t="b">
        <v>1</v>
      </c>
      <c r="E491" s="167">
        <v>1562814.0</v>
      </c>
      <c r="F491" s="152" t="s">
        <v>543</v>
      </c>
      <c r="G491" s="125" t="s">
        <v>296</v>
      </c>
      <c r="H491" s="135" t="s">
        <v>1649</v>
      </c>
      <c r="I491" s="121"/>
    </row>
    <row r="492" ht="15.75" customHeight="1">
      <c r="A492" s="121"/>
      <c r="B492" s="157" t="s">
        <v>1366</v>
      </c>
      <c r="C492" s="158">
        <v>62.0</v>
      </c>
      <c r="D492" s="159" t="b">
        <v>1</v>
      </c>
      <c r="E492" s="167">
        <v>1562815.0</v>
      </c>
      <c r="F492" s="152" t="s">
        <v>543</v>
      </c>
      <c r="G492" s="125" t="s">
        <v>296</v>
      </c>
      <c r="H492" s="135" t="s">
        <v>1650</v>
      </c>
      <c r="I492" s="121"/>
    </row>
    <row r="493" ht="15.75" customHeight="1">
      <c r="A493" s="121"/>
      <c r="B493" s="157" t="s">
        <v>1366</v>
      </c>
      <c r="C493" s="158">
        <v>63.0</v>
      </c>
      <c r="D493" s="159" t="b">
        <v>1</v>
      </c>
      <c r="E493" s="167">
        <v>1562816.0</v>
      </c>
      <c r="F493" s="152" t="s">
        <v>543</v>
      </c>
      <c r="G493" s="125" t="s">
        <v>296</v>
      </c>
      <c r="H493" s="135" t="s">
        <v>1651</v>
      </c>
      <c r="I493" s="121"/>
    </row>
    <row r="494" ht="15.75" customHeight="1">
      <c r="A494" s="121"/>
      <c r="B494" s="157" t="s">
        <v>1368</v>
      </c>
      <c r="C494" s="158">
        <v>63.0</v>
      </c>
      <c r="D494" s="159" t="b">
        <v>1</v>
      </c>
      <c r="E494" s="167">
        <v>1562817.0</v>
      </c>
      <c r="F494" s="152" t="s">
        <v>543</v>
      </c>
      <c r="G494" s="125" t="s">
        <v>296</v>
      </c>
      <c r="H494" s="135" t="s">
        <v>1652</v>
      </c>
      <c r="I494" s="121"/>
    </row>
    <row r="495" ht="15.75" customHeight="1">
      <c r="A495" s="121"/>
      <c r="B495" s="157" t="s">
        <v>1368</v>
      </c>
      <c r="C495" s="158">
        <v>63.0</v>
      </c>
      <c r="D495" s="159" t="b">
        <v>1</v>
      </c>
      <c r="E495" s="167">
        <v>1562818.0</v>
      </c>
      <c r="F495" s="152" t="s">
        <v>543</v>
      </c>
      <c r="G495" s="125" t="s">
        <v>296</v>
      </c>
      <c r="H495" s="135" t="s">
        <v>1653</v>
      </c>
      <c r="I495" s="121"/>
    </row>
    <row r="496" ht="15.75" customHeight="1">
      <c r="A496" s="121"/>
      <c r="B496" s="162" t="s">
        <v>1252</v>
      </c>
      <c r="C496" s="165"/>
      <c r="D496" s="166" t="b">
        <v>0</v>
      </c>
      <c r="E496" s="160">
        <v>1632419.0</v>
      </c>
      <c r="F496" s="152" t="s">
        <v>543</v>
      </c>
      <c r="G496" s="125" t="s">
        <v>296</v>
      </c>
      <c r="H496" s="135" t="s">
        <v>1654</v>
      </c>
      <c r="I496" s="121"/>
    </row>
    <row r="497" ht="15.75" customHeight="1">
      <c r="A497" s="121"/>
      <c r="B497" s="162" t="s">
        <v>1190</v>
      </c>
      <c r="C497" s="158" t="s">
        <v>24</v>
      </c>
      <c r="D497" s="159" t="b">
        <v>1</v>
      </c>
      <c r="E497" s="160">
        <v>1632427.0</v>
      </c>
      <c r="F497" s="149" t="s">
        <v>397</v>
      </c>
      <c r="G497" s="150" t="s">
        <v>1199</v>
      </c>
      <c r="H497" s="135" t="s">
        <v>1655</v>
      </c>
      <c r="I497" s="121"/>
    </row>
    <row r="498" ht="15.75" customHeight="1">
      <c r="A498" s="121"/>
      <c r="B498" s="162" t="s">
        <v>1406</v>
      </c>
      <c r="C498" s="165"/>
      <c r="D498" s="166" t="b">
        <v>0</v>
      </c>
      <c r="E498" s="160">
        <v>1632428.0</v>
      </c>
      <c r="F498" s="152" t="s">
        <v>543</v>
      </c>
      <c r="G498" s="125" t="s">
        <v>296</v>
      </c>
      <c r="H498" s="135" t="s">
        <v>1656</v>
      </c>
      <c r="I498" s="121"/>
    </row>
    <row r="499" ht="15.75" customHeight="1">
      <c r="A499" s="121"/>
      <c r="B499" s="162" t="s">
        <v>286</v>
      </c>
      <c r="C499" s="165"/>
      <c r="D499" s="166" t="b">
        <v>0</v>
      </c>
      <c r="E499" s="160">
        <v>1660558.0</v>
      </c>
      <c r="F499" s="152" t="s">
        <v>1225</v>
      </c>
      <c r="G499" s="125" t="s">
        <v>296</v>
      </c>
      <c r="H499" s="135" t="s">
        <v>339</v>
      </c>
      <c r="I499" s="121"/>
    </row>
    <row r="500" ht="15.75" customHeight="1">
      <c r="A500" s="121"/>
      <c r="B500" s="162" t="s">
        <v>286</v>
      </c>
      <c r="C500" s="165"/>
      <c r="D500" s="166" t="b">
        <v>0</v>
      </c>
      <c r="E500" s="160">
        <v>1660559.0</v>
      </c>
      <c r="F500" s="152" t="s">
        <v>1225</v>
      </c>
      <c r="G500" s="125" t="s">
        <v>296</v>
      </c>
      <c r="H500" s="135" t="s">
        <v>339</v>
      </c>
      <c r="I500" s="121"/>
    </row>
    <row r="501" ht="15.75" customHeight="1">
      <c r="A501" s="121"/>
      <c r="B501" s="162" t="s">
        <v>286</v>
      </c>
      <c r="C501" s="165"/>
      <c r="D501" s="166" t="b">
        <v>0</v>
      </c>
      <c r="E501" s="160">
        <v>1660560.0</v>
      </c>
      <c r="F501" s="152" t="s">
        <v>1232</v>
      </c>
      <c r="G501" s="125" t="s">
        <v>296</v>
      </c>
      <c r="H501" s="135" t="s">
        <v>339</v>
      </c>
      <c r="I501" s="121"/>
    </row>
    <row r="502" ht="15.75" customHeight="1">
      <c r="A502" s="121"/>
      <c r="B502" s="162" t="s">
        <v>286</v>
      </c>
      <c r="C502" s="165"/>
      <c r="D502" s="166" t="b">
        <v>0</v>
      </c>
      <c r="E502" s="160">
        <v>1660561.0</v>
      </c>
      <c r="F502" s="152" t="s">
        <v>1232</v>
      </c>
      <c r="G502" s="125" t="s">
        <v>296</v>
      </c>
      <c r="H502" s="135" t="s">
        <v>339</v>
      </c>
      <c r="I502" s="121"/>
    </row>
    <row r="503" ht="15.75" customHeight="1">
      <c r="A503" s="121"/>
      <c r="B503" s="162" t="s">
        <v>286</v>
      </c>
      <c r="C503" s="165"/>
      <c r="D503" s="166" t="b">
        <v>0</v>
      </c>
      <c r="E503" s="160">
        <v>1660562.0</v>
      </c>
      <c r="F503" s="152" t="s">
        <v>1232</v>
      </c>
      <c r="G503" s="125" t="s">
        <v>296</v>
      </c>
      <c r="H503" s="135" t="s">
        <v>339</v>
      </c>
      <c r="I503" s="121"/>
    </row>
    <row r="504" ht="15.75" customHeight="1">
      <c r="A504" s="121"/>
      <c r="B504" s="162" t="s">
        <v>322</v>
      </c>
      <c r="C504" s="165"/>
      <c r="D504" s="159" t="b">
        <v>1</v>
      </c>
      <c r="E504" s="160">
        <v>1700030.0</v>
      </c>
      <c r="F504" s="149" t="s">
        <v>397</v>
      </c>
      <c r="G504" s="150" t="s">
        <v>1203</v>
      </c>
      <c r="H504" s="135" t="s">
        <v>1657</v>
      </c>
      <c r="I504" s="121"/>
    </row>
    <row r="505" ht="15.75" customHeight="1">
      <c r="A505" s="121"/>
      <c r="B505" s="162" t="s">
        <v>1406</v>
      </c>
      <c r="C505" s="165"/>
      <c r="D505" s="166" t="b">
        <v>0</v>
      </c>
      <c r="E505" s="160">
        <v>1709697.0</v>
      </c>
      <c r="F505" s="152" t="s">
        <v>543</v>
      </c>
      <c r="G505" s="125" t="s">
        <v>296</v>
      </c>
      <c r="H505" s="135" t="s">
        <v>1658</v>
      </c>
      <c r="I505" s="121"/>
    </row>
    <row r="506" ht="15.75" customHeight="1">
      <c r="A506" s="121"/>
      <c r="B506" s="162" t="s">
        <v>286</v>
      </c>
      <c r="C506" s="165"/>
      <c r="D506" s="166" t="b">
        <v>0</v>
      </c>
      <c r="E506" s="160">
        <v>1709698.0</v>
      </c>
      <c r="F506" s="152" t="s">
        <v>1232</v>
      </c>
      <c r="G506" s="125" t="s">
        <v>296</v>
      </c>
      <c r="H506" s="135" t="s">
        <v>1658</v>
      </c>
      <c r="I506" s="121"/>
    </row>
    <row r="507" ht="15.75" customHeight="1">
      <c r="A507" s="121"/>
      <c r="B507" s="162" t="s">
        <v>322</v>
      </c>
      <c r="C507" s="165"/>
      <c r="D507" s="159" t="b">
        <v>1</v>
      </c>
      <c r="E507" s="160">
        <v>1737448.0</v>
      </c>
      <c r="F507" s="149" t="s">
        <v>397</v>
      </c>
      <c r="G507" s="150" t="s">
        <v>1203</v>
      </c>
      <c r="H507" s="135" t="s">
        <v>1659</v>
      </c>
      <c r="I507" s="121"/>
    </row>
    <row r="508" ht="15.75" customHeight="1">
      <c r="A508" s="121"/>
      <c r="B508" s="162" t="s">
        <v>286</v>
      </c>
      <c r="C508" s="165"/>
      <c r="D508" s="166" t="b">
        <v>0</v>
      </c>
      <c r="E508" s="160">
        <v>1742667.0</v>
      </c>
      <c r="F508" s="152" t="s">
        <v>543</v>
      </c>
      <c r="G508" s="125" t="s">
        <v>296</v>
      </c>
      <c r="H508" s="135" t="s">
        <v>1660</v>
      </c>
      <c r="I508" s="121"/>
    </row>
    <row r="509" ht="15.75" customHeight="1">
      <c r="A509" s="121"/>
      <c r="B509" s="162" t="s">
        <v>286</v>
      </c>
      <c r="C509" s="165"/>
      <c r="D509" s="166" t="b">
        <v>0</v>
      </c>
      <c r="E509" s="160">
        <v>1742668.0</v>
      </c>
      <c r="F509" s="152" t="s">
        <v>543</v>
      </c>
      <c r="G509" s="125" t="s">
        <v>296</v>
      </c>
      <c r="H509" s="135" t="s">
        <v>1660</v>
      </c>
      <c r="I509" s="121"/>
    </row>
    <row r="510" ht="15.75" customHeight="1">
      <c r="A510" s="121"/>
      <c r="B510" s="162" t="s">
        <v>286</v>
      </c>
      <c r="C510" s="165"/>
      <c r="D510" s="166" t="b">
        <v>0</v>
      </c>
      <c r="E510" s="160">
        <v>1742669.0</v>
      </c>
      <c r="F510" s="152" t="s">
        <v>543</v>
      </c>
      <c r="G510" s="125" t="s">
        <v>296</v>
      </c>
      <c r="H510" s="135" t="s">
        <v>1660</v>
      </c>
      <c r="I510" s="121"/>
    </row>
    <row r="511" ht="15.75" customHeight="1">
      <c r="A511" s="121"/>
      <c r="B511" s="162" t="s">
        <v>286</v>
      </c>
      <c r="C511" s="165"/>
      <c r="D511" s="166" t="b">
        <v>0</v>
      </c>
      <c r="E511" s="160">
        <v>1742728.0</v>
      </c>
      <c r="F511" s="152" t="s">
        <v>543</v>
      </c>
      <c r="G511" s="125" t="s">
        <v>296</v>
      </c>
      <c r="H511" s="135" t="s">
        <v>1661</v>
      </c>
      <c r="I511" s="121"/>
    </row>
    <row r="512" ht="15.75" customHeight="1">
      <c r="A512" s="121"/>
      <c r="B512" s="162" t="s">
        <v>286</v>
      </c>
      <c r="C512" s="165"/>
      <c r="D512" s="166" t="b">
        <v>0</v>
      </c>
      <c r="E512" s="160">
        <v>1742729.0</v>
      </c>
      <c r="F512" s="152" t="s">
        <v>543</v>
      </c>
      <c r="G512" s="125" t="s">
        <v>296</v>
      </c>
      <c r="H512" s="135" t="s">
        <v>1661</v>
      </c>
      <c r="I512" s="121"/>
    </row>
    <row r="513" ht="15.75" customHeight="1">
      <c r="A513" s="121"/>
      <c r="B513" s="162" t="s">
        <v>286</v>
      </c>
      <c r="C513" s="165"/>
      <c r="D513" s="166" t="b">
        <v>0</v>
      </c>
      <c r="E513" s="160">
        <v>1742730.0</v>
      </c>
      <c r="F513" s="152" t="s">
        <v>543</v>
      </c>
      <c r="G513" s="125" t="s">
        <v>296</v>
      </c>
      <c r="H513" s="135" t="s">
        <v>1661</v>
      </c>
      <c r="I513" s="121"/>
    </row>
    <row r="514" ht="15.75" customHeight="1">
      <c r="A514" s="121"/>
      <c r="B514" s="162" t="s">
        <v>286</v>
      </c>
      <c r="C514" s="165"/>
      <c r="D514" s="166" t="b">
        <v>0</v>
      </c>
      <c r="E514" s="160">
        <v>1742813.0</v>
      </c>
      <c r="F514" s="152" t="s">
        <v>543</v>
      </c>
      <c r="G514" s="125" t="s">
        <v>296</v>
      </c>
      <c r="H514" s="135" t="s">
        <v>1662</v>
      </c>
      <c r="I514" s="121"/>
    </row>
    <row r="515" ht="15.75" customHeight="1">
      <c r="A515" s="121"/>
      <c r="B515" s="162" t="s">
        <v>286</v>
      </c>
      <c r="C515" s="165"/>
      <c r="D515" s="166" t="b">
        <v>0</v>
      </c>
      <c r="E515" s="160">
        <v>1742814.0</v>
      </c>
      <c r="F515" s="152" t="s">
        <v>543</v>
      </c>
      <c r="G515" s="125" t="s">
        <v>296</v>
      </c>
      <c r="H515" s="135" t="s">
        <v>1662</v>
      </c>
      <c r="I515" s="121"/>
    </row>
    <row r="516" ht="15.75" customHeight="1">
      <c r="A516" s="121"/>
      <c r="B516" s="162" t="s">
        <v>286</v>
      </c>
      <c r="C516" s="165"/>
      <c r="D516" s="166" t="b">
        <v>0</v>
      </c>
      <c r="E516" s="160">
        <v>1742849.0</v>
      </c>
      <c r="F516" s="161" t="s">
        <v>1228</v>
      </c>
      <c r="G516" s="150" t="s">
        <v>1229</v>
      </c>
      <c r="H516" s="135" t="s">
        <v>1663</v>
      </c>
      <c r="I516" s="121"/>
    </row>
    <row r="517" ht="15.75" customHeight="1">
      <c r="A517" s="121"/>
      <c r="B517" s="162" t="s">
        <v>286</v>
      </c>
      <c r="C517" s="165"/>
      <c r="D517" s="166" t="b">
        <v>0</v>
      </c>
      <c r="E517" s="160">
        <v>1742879.0</v>
      </c>
      <c r="F517" s="152" t="s">
        <v>543</v>
      </c>
      <c r="G517" s="125" t="s">
        <v>296</v>
      </c>
      <c r="H517" s="135" t="s">
        <v>1664</v>
      </c>
      <c r="I517" s="121"/>
    </row>
    <row r="518" ht="15.75" customHeight="1">
      <c r="A518" s="121"/>
      <c r="B518" s="162" t="s">
        <v>286</v>
      </c>
      <c r="C518" s="165"/>
      <c r="D518" s="166" t="b">
        <v>0</v>
      </c>
      <c r="E518" s="160">
        <v>1742880.0</v>
      </c>
      <c r="F518" s="152" t="s">
        <v>543</v>
      </c>
      <c r="G518" s="125" t="s">
        <v>296</v>
      </c>
      <c r="H518" s="135" t="s">
        <v>1664</v>
      </c>
      <c r="I518" s="121"/>
    </row>
    <row r="519" ht="15.75" customHeight="1">
      <c r="A519" s="121"/>
      <c r="B519" s="162" t="s">
        <v>1190</v>
      </c>
      <c r="C519" s="158" t="s">
        <v>24</v>
      </c>
      <c r="D519" s="159" t="b">
        <v>1</v>
      </c>
      <c r="E519" s="160">
        <v>1742881.0</v>
      </c>
      <c r="F519" s="161" t="s">
        <v>397</v>
      </c>
      <c r="G519" s="150" t="s">
        <v>1278</v>
      </c>
      <c r="H519" s="135" t="s">
        <v>1664</v>
      </c>
      <c r="I519" s="121"/>
    </row>
    <row r="520" ht="15.75" customHeight="1">
      <c r="A520" s="121"/>
      <c r="B520" s="162" t="s">
        <v>1190</v>
      </c>
      <c r="C520" s="158" t="s">
        <v>24</v>
      </c>
      <c r="D520" s="159" t="b">
        <v>1</v>
      </c>
      <c r="E520" s="160">
        <v>1742882.0</v>
      </c>
      <c r="F520" s="161" t="s">
        <v>397</v>
      </c>
      <c r="G520" s="150" t="s">
        <v>1278</v>
      </c>
      <c r="H520" s="135" t="s">
        <v>1664</v>
      </c>
      <c r="I520" s="121"/>
    </row>
    <row r="521" ht="15.75" customHeight="1">
      <c r="A521" s="121"/>
      <c r="B521" s="162" t="s">
        <v>1665</v>
      </c>
      <c r="C521" s="165"/>
      <c r="D521" s="166" t="b">
        <v>0</v>
      </c>
      <c r="E521" s="160">
        <v>1742959.0</v>
      </c>
      <c r="F521" s="152" t="s">
        <v>543</v>
      </c>
      <c r="G521" s="125" t="s">
        <v>296</v>
      </c>
      <c r="H521" s="135" t="s">
        <v>1666</v>
      </c>
      <c r="I521" s="121"/>
    </row>
    <row r="522" ht="15.75" customHeight="1">
      <c r="A522" s="121"/>
      <c r="B522" s="162" t="s">
        <v>286</v>
      </c>
      <c r="C522" s="165"/>
      <c r="D522" s="166" t="b">
        <v>0</v>
      </c>
      <c r="E522" s="160">
        <v>1742960.0</v>
      </c>
      <c r="F522" s="152" t="s">
        <v>543</v>
      </c>
      <c r="G522" s="125" t="s">
        <v>296</v>
      </c>
      <c r="H522" s="135" t="s">
        <v>1666</v>
      </c>
      <c r="I522" s="121"/>
    </row>
    <row r="523" ht="15.75" customHeight="1">
      <c r="A523" s="121"/>
      <c r="B523" s="162" t="s">
        <v>286</v>
      </c>
      <c r="C523" s="165"/>
      <c r="D523" s="166" t="b">
        <v>0</v>
      </c>
      <c r="E523" s="160">
        <v>1742961.0</v>
      </c>
      <c r="F523" s="152" t="s">
        <v>543</v>
      </c>
      <c r="G523" s="125" t="s">
        <v>296</v>
      </c>
      <c r="H523" s="135" t="s">
        <v>1666</v>
      </c>
      <c r="I523" s="121"/>
    </row>
    <row r="524" ht="15.75" customHeight="1">
      <c r="A524" s="121"/>
      <c r="B524" s="162" t="s">
        <v>286</v>
      </c>
      <c r="C524" s="165"/>
      <c r="D524" s="166" t="b">
        <v>0</v>
      </c>
      <c r="E524" s="160">
        <v>1742962.0</v>
      </c>
      <c r="F524" s="152" t="s">
        <v>543</v>
      </c>
      <c r="G524" s="125" t="s">
        <v>296</v>
      </c>
      <c r="H524" s="135" t="s">
        <v>1666</v>
      </c>
      <c r="I524" s="121"/>
    </row>
    <row r="525" ht="15.75" customHeight="1">
      <c r="A525" s="121"/>
      <c r="B525" s="162" t="s">
        <v>1667</v>
      </c>
      <c r="C525" s="165"/>
      <c r="D525" s="166" t="b">
        <v>0</v>
      </c>
      <c r="E525" s="160">
        <v>1743043.0</v>
      </c>
      <c r="F525" s="152" t="s">
        <v>543</v>
      </c>
      <c r="G525" s="125" t="s">
        <v>296</v>
      </c>
      <c r="H525" s="135" t="s">
        <v>1668</v>
      </c>
      <c r="I525" s="121"/>
    </row>
    <row r="526" ht="15.75" customHeight="1">
      <c r="A526" s="121"/>
      <c r="B526" s="162" t="s">
        <v>1667</v>
      </c>
      <c r="C526" s="165"/>
      <c r="D526" s="166" t="b">
        <v>0</v>
      </c>
      <c r="E526" s="160">
        <v>1743044.0</v>
      </c>
      <c r="F526" s="152" t="s">
        <v>543</v>
      </c>
      <c r="G526" s="125" t="s">
        <v>296</v>
      </c>
      <c r="H526" s="135" t="s">
        <v>1668</v>
      </c>
      <c r="I526" s="121"/>
    </row>
    <row r="527" ht="15.75" customHeight="1">
      <c r="A527" s="121"/>
      <c r="B527" s="162" t="s">
        <v>1669</v>
      </c>
      <c r="C527" s="165"/>
      <c r="D527" s="166" t="b">
        <v>0</v>
      </c>
      <c r="E527" s="160">
        <v>1743045.0</v>
      </c>
      <c r="F527" s="152" t="s">
        <v>543</v>
      </c>
      <c r="G527" s="125" t="s">
        <v>296</v>
      </c>
      <c r="H527" s="135" t="s">
        <v>1668</v>
      </c>
      <c r="I527" s="121"/>
    </row>
    <row r="528" ht="15.75" customHeight="1">
      <c r="A528" s="121"/>
      <c r="B528" s="162" t="s">
        <v>1669</v>
      </c>
      <c r="C528" s="165"/>
      <c r="D528" s="166" t="b">
        <v>0</v>
      </c>
      <c r="E528" s="160">
        <v>1743046.0</v>
      </c>
      <c r="F528" s="152" t="s">
        <v>543</v>
      </c>
      <c r="G528" s="125" t="s">
        <v>296</v>
      </c>
      <c r="H528" s="135" t="s">
        <v>1668</v>
      </c>
      <c r="I528" s="121"/>
    </row>
    <row r="529" ht="15.75" customHeight="1">
      <c r="A529" s="121"/>
      <c r="B529" s="162" t="s">
        <v>286</v>
      </c>
      <c r="C529" s="165"/>
      <c r="D529" s="166" t="b">
        <v>0</v>
      </c>
      <c r="E529" s="160">
        <v>1743047.0</v>
      </c>
      <c r="F529" s="152" t="s">
        <v>1280</v>
      </c>
      <c r="G529" s="125" t="s">
        <v>296</v>
      </c>
      <c r="H529" s="135" t="s">
        <v>1668</v>
      </c>
      <c r="I529" s="121"/>
    </row>
    <row r="530" ht="15.75" customHeight="1">
      <c r="A530" s="121"/>
      <c r="B530" s="162" t="s">
        <v>286</v>
      </c>
      <c r="C530" s="165"/>
      <c r="D530" s="166" t="b">
        <v>0</v>
      </c>
      <c r="E530" s="160">
        <v>1743128.0</v>
      </c>
      <c r="F530" s="152" t="s">
        <v>543</v>
      </c>
      <c r="G530" s="125" t="s">
        <v>296</v>
      </c>
      <c r="H530" s="135" t="s">
        <v>1670</v>
      </c>
      <c r="I530" s="121"/>
    </row>
    <row r="531" ht="15.75" customHeight="1">
      <c r="A531" s="121"/>
      <c r="B531" s="157" t="s">
        <v>1671</v>
      </c>
      <c r="C531" s="165"/>
      <c r="D531" s="159" t="b">
        <v>1</v>
      </c>
      <c r="E531" s="160">
        <v>1746867.0</v>
      </c>
      <c r="F531" s="161" t="s">
        <v>1672</v>
      </c>
      <c r="G531" s="125" t="s">
        <v>296</v>
      </c>
      <c r="H531" s="135" t="s">
        <v>1673</v>
      </c>
      <c r="I531" s="121"/>
    </row>
    <row r="532" ht="15.75" customHeight="1">
      <c r="A532" s="121"/>
      <c r="B532" s="157" t="s">
        <v>1674</v>
      </c>
      <c r="C532" s="165"/>
      <c r="D532" s="159" t="b">
        <v>1</v>
      </c>
      <c r="E532" s="160">
        <v>1746868.0</v>
      </c>
      <c r="F532" s="152" t="s">
        <v>543</v>
      </c>
      <c r="G532" s="125" t="s">
        <v>296</v>
      </c>
      <c r="H532" s="135" t="s">
        <v>1673</v>
      </c>
      <c r="I532" s="121"/>
    </row>
    <row r="533" ht="15.75" customHeight="1">
      <c r="A533" s="121"/>
      <c r="B533" s="157" t="s">
        <v>1190</v>
      </c>
      <c r="C533" s="165"/>
      <c r="D533" s="166" t="b">
        <v>0</v>
      </c>
      <c r="E533" s="160">
        <v>1746870.0</v>
      </c>
      <c r="F533" s="161" t="s">
        <v>1280</v>
      </c>
      <c r="G533" s="125" t="s">
        <v>296</v>
      </c>
      <c r="H533" s="135" t="s">
        <v>1675</v>
      </c>
      <c r="I533" s="121"/>
    </row>
    <row r="534" ht="15.75" customHeight="1">
      <c r="A534" s="121"/>
      <c r="B534" s="162" t="s">
        <v>1245</v>
      </c>
      <c r="C534" s="165"/>
      <c r="D534" s="166" t="b">
        <v>0</v>
      </c>
      <c r="E534" s="160">
        <v>1749506.0</v>
      </c>
      <c r="F534" s="152" t="s">
        <v>543</v>
      </c>
      <c r="G534" s="125" t="s">
        <v>296</v>
      </c>
      <c r="H534" s="135" t="s">
        <v>1676</v>
      </c>
      <c r="I534" s="121"/>
    </row>
    <row r="535" ht="15.75" customHeight="1">
      <c r="A535" s="121"/>
      <c r="B535" s="162" t="s">
        <v>1245</v>
      </c>
      <c r="C535" s="165"/>
      <c r="D535" s="166" t="b">
        <v>0</v>
      </c>
      <c r="E535" s="167">
        <v>1749509.0</v>
      </c>
      <c r="F535" s="152" t="s">
        <v>543</v>
      </c>
      <c r="G535" s="125" t="s">
        <v>296</v>
      </c>
      <c r="H535" s="135" t="s">
        <v>1676</v>
      </c>
      <c r="I535" s="121"/>
    </row>
    <row r="536" ht="15.75" customHeight="1">
      <c r="A536" s="121"/>
      <c r="B536" s="162" t="s">
        <v>1241</v>
      </c>
      <c r="C536" s="165"/>
      <c r="D536" s="166" t="b">
        <v>0</v>
      </c>
      <c r="E536" s="167">
        <v>1756961.0</v>
      </c>
      <c r="F536" s="152" t="s">
        <v>543</v>
      </c>
      <c r="G536" s="125" t="s">
        <v>296</v>
      </c>
      <c r="H536" s="135" t="s">
        <v>1677</v>
      </c>
      <c r="I536" s="121"/>
    </row>
    <row r="537" ht="15.75" customHeight="1">
      <c r="A537" s="121"/>
      <c r="B537" s="162" t="s">
        <v>1241</v>
      </c>
      <c r="C537" s="165"/>
      <c r="D537" s="166" t="b">
        <v>0</v>
      </c>
      <c r="E537" s="167">
        <v>1756962.0</v>
      </c>
      <c r="F537" s="152" t="s">
        <v>543</v>
      </c>
      <c r="G537" s="125" t="s">
        <v>296</v>
      </c>
      <c r="H537" s="135" t="s">
        <v>1677</v>
      </c>
      <c r="I537" s="121"/>
    </row>
    <row r="538" ht="15.75" customHeight="1">
      <c r="A538" s="121"/>
      <c r="B538" s="162" t="s">
        <v>1241</v>
      </c>
      <c r="C538" s="165"/>
      <c r="D538" s="166" t="b">
        <v>0</v>
      </c>
      <c r="E538" s="167">
        <v>1756985.0</v>
      </c>
      <c r="F538" s="152" t="s">
        <v>543</v>
      </c>
      <c r="G538" s="125" t="s">
        <v>296</v>
      </c>
      <c r="H538" s="135" t="s">
        <v>1677</v>
      </c>
      <c r="I538" s="121"/>
    </row>
    <row r="539" ht="15.75" customHeight="1">
      <c r="A539" s="121"/>
      <c r="B539" s="162" t="s">
        <v>1241</v>
      </c>
      <c r="C539" s="165"/>
      <c r="D539" s="166" t="b">
        <v>0</v>
      </c>
      <c r="E539" s="167">
        <v>1756986.0</v>
      </c>
      <c r="F539" s="152" t="s">
        <v>543</v>
      </c>
      <c r="G539" s="125" t="s">
        <v>296</v>
      </c>
      <c r="H539" s="135" t="s">
        <v>1677</v>
      </c>
      <c r="I539" s="121"/>
    </row>
    <row r="540" ht="15.75" customHeight="1">
      <c r="A540" s="121"/>
      <c r="B540" s="162" t="s">
        <v>1241</v>
      </c>
      <c r="C540" s="165"/>
      <c r="D540" s="166" t="b">
        <v>0</v>
      </c>
      <c r="E540" s="167">
        <v>1756987.0</v>
      </c>
      <c r="F540" s="152" t="s">
        <v>543</v>
      </c>
      <c r="G540" s="125" t="s">
        <v>296</v>
      </c>
      <c r="H540" s="135" t="s">
        <v>1677</v>
      </c>
      <c r="I540" s="121"/>
    </row>
    <row r="541" ht="15.75" customHeight="1">
      <c r="A541" s="121"/>
      <c r="B541" s="162" t="s">
        <v>1241</v>
      </c>
      <c r="C541" s="165"/>
      <c r="D541" s="166" t="b">
        <v>0</v>
      </c>
      <c r="E541" s="167">
        <v>1756988.0</v>
      </c>
      <c r="F541" s="152" t="s">
        <v>543</v>
      </c>
      <c r="G541" s="125" t="s">
        <v>296</v>
      </c>
      <c r="H541" s="135" t="s">
        <v>1677</v>
      </c>
      <c r="I541" s="121"/>
    </row>
    <row r="542" ht="15.75" customHeight="1">
      <c r="A542" s="121"/>
      <c r="B542" s="162" t="s">
        <v>1241</v>
      </c>
      <c r="C542" s="165"/>
      <c r="D542" s="166" t="b">
        <v>0</v>
      </c>
      <c r="E542" s="160">
        <v>1756989.0</v>
      </c>
      <c r="F542" s="152" t="s">
        <v>543</v>
      </c>
      <c r="G542" s="125" t="s">
        <v>296</v>
      </c>
      <c r="H542" s="135" t="s">
        <v>1677</v>
      </c>
      <c r="I542" s="121"/>
    </row>
    <row r="543" ht="15.75" customHeight="1">
      <c r="A543" s="121"/>
      <c r="B543" s="162" t="s">
        <v>1241</v>
      </c>
      <c r="C543" s="165"/>
      <c r="D543" s="166" t="b">
        <v>0</v>
      </c>
      <c r="E543" s="160">
        <v>1756990.0</v>
      </c>
      <c r="F543" s="152" t="s">
        <v>543</v>
      </c>
      <c r="G543" s="125" t="s">
        <v>296</v>
      </c>
      <c r="H543" s="135" t="s">
        <v>1677</v>
      </c>
      <c r="I543" s="121"/>
    </row>
    <row r="544" ht="15.75" customHeight="1">
      <c r="A544" s="121"/>
      <c r="B544" s="162" t="s">
        <v>1241</v>
      </c>
      <c r="C544" s="165"/>
      <c r="D544" s="166" t="b">
        <v>0</v>
      </c>
      <c r="E544" s="160">
        <v>1756991.0</v>
      </c>
      <c r="F544" s="152" t="s">
        <v>543</v>
      </c>
      <c r="G544" s="125" t="s">
        <v>296</v>
      </c>
      <c r="H544" s="135" t="s">
        <v>1677</v>
      </c>
      <c r="I544" s="121"/>
    </row>
    <row r="545" ht="15.75" customHeight="1">
      <c r="A545" s="121"/>
      <c r="B545" s="162" t="s">
        <v>1241</v>
      </c>
      <c r="C545" s="165"/>
      <c r="D545" s="166" t="b">
        <v>0</v>
      </c>
      <c r="E545" s="160">
        <v>1756992.0</v>
      </c>
      <c r="F545" s="152" t="s">
        <v>543</v>
      </c>
      <c r="G545" s="125" t="s">
        <v>296</v>
      </c>
      <c r="H545" s="135" t="s">
        <v>1677</v>
      </c>
      <c r="I545" s="121"/>
    </row>
    <row r="546" ht="15.75" customHeight="1">
      <c r="A546" s="121"/>
      <c r="B546" s="162" t="s">
        <v>1237</v>
      </c>
      <c r="C546" s="165"/>
      <c r="D546" s="166" t="b">
        <v>0</v>
      </c>
      <c r="E546" s="160">
        <v>1765198.0</v>
      </c>
      <c r="F546" s="152" t="s">
        <v>543</v>
      </c>
      <c r="G546" s="125" t="s">
        <v>296</v>
      </c>
      <c r="H546" s="135" t="s">
        <v>1678</v>
      </c>
      <c r="I546" s="121"/>
    </row>
    <row r="547" ht="15.75" customHeight="1">
      <c r="A547" s="121"/>
      <c r="B547" s="162" t="s">
        <v>1237</v>
      </c>
      <c r="C547" s="165"/>
      <c r="D547" s="166" t="b">
        <v>0</v>
      </c>
      <c r="E547" s="160">
        <v>1765199.0</v>
      </c>
      <c r="F547" s="152" t="s">
        <v>543</v>
      </c>
      <c r="G547" s="125" t="s">
        <v>296</v>
      </c>
      <c r="H547" s="135" t="s">
        <v>1678</v>
      </c>
      <c r="I547" s="121"/>
    </row>
    <row r="548" ht="15.75" customHeight="1">
      <c r="A548" s="121"/>
      <c r="B548" s="162" t="s">
        <v>1190</v>
      </c>
      <c r="C548" s="165"/>
      <c r="D548" s="166" t="b">
        <v>0</v>
      </c>
      <c r="E548" s="160">
        <v>1777212.0</v>
      </c>
      <c r="F548" s="152" t="s">
        <v>1225</v>
      </c>
      <c r="G548" s="125" t="s">
        <v>296</v>
      </c>
      <c r="H548" s="135" t="s">
        <v>1679</v>
      </c>
      <c r="I548" s="121"/>
    </row>
    <row r="549" ht="15.75" customHeight="1">
      <c r="A549" s="121"/>
      <c r="B549" s="162" t="s">
        <v>1190</v>
      </c>
      <c r="C549" s="165"/>
      <c r="D549" s="166" t="b">
        <v>0</v>
      </c>
      <c r="E549" s="160">
        <v>1777213.0</v>
      </c>
      <c r="F549" s="152" t="s">
        <v>1225</v>
      </c>
      <c r="G549" s="125" t="s">
        <v>296</v>
      </c>
      <c r="H549" s="135" t="s">
        <v>1680</v>
      </c>
      <c r="I549" s="121"/>
    </row>
    <row r="550" ht="15.75" customHeight="1">
      <c r="A550" s="121"/>
      <c r="B550" s="162" t="s">
        <v>1190</v>
      </c>
      <c r="C550" s="165"/>
      <c r="D550" s="166" t="b">
        <v>0</v>
      </c>
      <c r="E550" s="160">
        <v>1777214.0</v>
      </c>
      <c r="F550" s="152" t="s">
        <v>1225</v>
      </c>
      <c r="G550" s="125" t="s">
        <v>296</v>
      </c>
      <c r="H550" s="135" t="s">
        <v>1680</v>
      </c>
      <c r="I550" s="121"/>
    </row>
    <row r="551" ht="15.75" customHeight="1">
      <c r="A551" s="121"/>
      <c r="B551" s="162" t="s">
        <v>1190</v>
      </c>
      <c r="C551" s="165"/>
      <c r="D551" s="166" t="b">
        <v>0</v>
      </c>
      <c r="E551" s="160">
        <v>1777215.0</v>
      </c>
      <c r="F551" s="152" t="s">
        <v>1225</v>
      </c>
      <c r="G551" s="125" t="s">
        <v>296</v>
      </c>
      <c r="H551" s="135" t="s">
        <v>1680</v>
      </c>
      <c r="I551" s="121"/>
    </row>
    <row r="552" ht="15.75" customHeight="1">
      <c r="A552" s="121"/>
      <c r="B552" s="162" t="s">
        <v>1406</v>
      </c>
      <c r="C552" s="165"/>
      <c r="D552" s="166" t="b">
        <v>0</v>
      </c>
      <c r="E552" s="160">
        <v>2024565.0</v>
      </c>
      <c r="F552" s="152" t="s">
        <v>1225</v>
      </c>
      <c r="G552" s="125" t="s">
        <v>296</v>
      </c>
      <c r="H552" s="135" t="s">
        <v>1681</v>
      </c>
      <c r="I552" s="121"/>
    </row>
    <row r="553" ht="15.75" customHeight="1">
      <c r="A553" s="121"/>
      <c r="B553" s="162" t="s">
        <v>286</v>
      </c>
      <c r="C553" s="165"/>
      <c r="D553" s="166" t="b">
        <v>0</v>
      </c>
      <c r="E553" s="160">
        <v>2024566.0</v>
      </c>
      <c r="F553" s="161" t="s">
        <v>1225</v>
      </c>
      <c r="G553" s="125" t="s">
        <v>296</v>
      </c>
      <c r="H553" s="135" t="s">
        <v>1681</v>
      </c>
      <c r="I553" s="121"/>
    </row>
    <row r="554" ht="15.75" customHeight="1">
      <c r="A554" s="121"/>
      <c r="B554" s="162" t="s">
        <v>286</v>
      </c>
      <c r="C554" s="165"/>
      <c r="D554" s="166" t="b">
        <v>0</v>
      </c>
      <c r="E554" s="160">
        <v>2024567.0</v>
      </c>
      <c r="F554" s="152" t="s">
        <v>1225</v>
      </c>
      <c r="G554" s="125" t="s">
        <v>296</v>
      </c>
      <c r="H554" s="135" t="s">
        <v>1681</v>
      </c>
      <c r="I554" s="121"/>
    </row>
    <row r="555" ht="15.75" customHeight="1">
      <c r="A555" s="121"/>
      <c r="B555" s="162" t="s">
        <v>1306</v>
      </c>
      <c r="C555" s="165"/>
      <c r="D555" s="166" t="b">
        <v>0</v>
      </c>
      <c r="E555" s="160">
        <v>2105817.0</v>
      </c>
      <c r="F555" s="152" t="s">
        <v>543</v>
      </c>
      <c r="G555" s="125" t="s">
        <v>1682</v>
      </c>
      <c r="H555" s="135" t="s">
        <v>1683</v>
      </c>
      <c r="I555" s="121"/>
    </row>
    <row r="556" ht="15.75" customHeight="1">
      <c r="A556" s="121"/>
      <c r="B556" s="162" t="s">
        <v>1306</v>
      </c>
      <c r="C556" s="165"/>
      <c r="D556" s="166" t="b">
        <v>0</v>
      </c>
      <c r="E556" s="160">
        <v>2105818.0</v>
      </c>
      <c r="F556" s="152" t="s">
        <v>543</v>
      </c>
      <c r="G556" s="125" t="s">
        <v>1682</v>
      </c>
      <c r="H556" s="135" t="s">
        <v>1683</v>
      </c>
      <c r="I556" s="121"/>
    </row>
    <row r="557" ht="15.75" customHeight="1">
      <c r="A557" s="121"/>
      <c r="B557" s="162" t="s">
        <v>1669</v>
      </c>
      <c r="C557" s="165"/>
      <c r="D557" s="166" t="b">
        <v>0</v>
      </c>
      <c r="E557" s="160">
        <v>2105819.0</v>
      </c>
      <c r="F557" s="152" t="s">
        <v>543</v>
      </c>
      <c r="G557" s="125" t="s">
        <v>1682</v>
      </c>
      <c r="H557" s="135" t="s">
        <v>1683</v>
      </c>
      <c r="I557" s="121"/>
    </row>
    <row r="558" ht="15.75" customHeight="1">
      <c r="A558" s="121"/>
      <c r="B558" s="162" t="s">
        <v>1669</v>
      </c>
      <c r="C558" s="165"/>
      <c r="D558" s="166" t="b">
        <v>0</v>
      </c>
      <c r="E558" s="160">
        <v>2105820.0</v>
      </c>
      <c r="F558" s="152" t="s">
        <v>543</v>
      </c>
      <c r="G558" s="125" t="s">
        <v>1682</v>
      </c>
      <c r="H558" s="135" t="s">
        <v>1683</v>
      </c>
      <c r="I558" s="121"/>
    </row>
    <row r="559" ht="15.75" customHeight="1">
      <c r="A559" s="121"/>
      <c r="B559" s="162" t="s">
        <v>286</v>
      </c>
      <c r="C559" s="165"/>
      <c r="D559" s="166" t="b">
        <v>0</v>
      </c>
      <c r="E559" s="160">
        <v>2105821.0</v>
      </c>
      <c r="F559" s="152" t="s">
        <v>543</v>
      </c>
      <c r="G559" s="125" t="s">
        <v>1682</v>
      </c>
      <c r="H559" s="135" t="s">
        <v>1683</v>
      </c>
      <c r="I559" s="121"/>
    </row>
    <row r="560" ht="15.75" customHeight="1">
      <c r="A560" s="121"/>
      <c r="B560" s="162" t="s">
        <v>286</v>
      </c>
      <c r="C560" s="165"/>
      <c r="D560" s="166" t="b">
        <v>0</v>
      </c>
      <c r="E560" s="160">
        <v>2105822.0</v>
      </c>
      <c r="F560" s="152" t="s">
        <v>543</v>
      </c>
      <c r="G560" s="125" t="s">
        <v>1682</v>
      </c>
      <c r="H560" s="135" t="s">
        <v>1683</v>
      </c>
      <c r="I560" s="121"/>
    </row>
    <row r="561" ht="15.75" customHeight="1">
      <c r="A561" s="121"/>
      <c r="B561" s="162" t="s">
        <v>286</v>
      </c>
      <c r="C561" s="165"/>
      <c r="D561" s="166" t="b">
        <v>0</v>
      </c>
      <c r="E561" s="160">
        <v>2105823.0</v>
      </c>
      <c r="F561" s="152" t="s">
        <v>543</v>
      </c>
      <c r="G561" s="125" t="s">
        <v>1682</v>
      </c>
      <c r="H561" s="135" t="s">
        <v>1683</v>
      </c>
      <c r="I561" s="121"/>
    </row>
    <row r="562" ht="15.75" customHeight="1">
      <c r="A562" s="121"/>
      <c r="B562" s="162" t="s">
        <v>286</v>
      </c>
      <c r="C562" s="165"/>
      <c r="D562" s="166" t="b">
        <v>0</v>
      </c>
      <c r="E562" s="160">
        <v>2105824.0</v>
      </c>
      <c r="F562" s="152" t="s">
        <v>543</v>
      </c>
      <c r="G562" s="125" t="s">
        <v>1682</v>
      </c>
      <c r="H562" s="135" t="s">
        <v>1683</v>
      </c>
      <c r="I562" s="121"/>
    </row>
    <row r="563" ht="15.75" customHeight="1">
      <c r="A563" s="121"/>
      <c r="B563" s="157" t="s">
        <v>1185</v>
      </c>
      <c r="C563" s="165"/>
      <c r="D563" s="166" t="b">
        <v>0</v>
      </c>
      <c r="E563" s="167">
        <v>2271735.0</v>
      </c>
      <c r="F563" s="152" t="s">
        <v>543</v>
      </c>
      <c r="G563" s="125" t="s">
        <v>296</v>
      </c>
      <c r="H563" s="168" t="s">
        <v>1684</v>
      </c>
      <c r="I563" s="121"/>
    </row>
    <row r="564" ht="15.75" customHeight="1">
      <c r="A564" s="121"/>
      <c r="B564" s="157"/>
      <c r="C564" s="165"/>
      <c r="D564" s="166"/>
      <c r="E564" s="167"/>
      <c r="F564" s="152"/>
      <c r="G564" s="125"/>
      <c r="H564" s="168"/>
      <c r="I564" s="121"/>
    </row>
    <row r="565" ht="15.75" customHeight="1">
      <c r="A565" s="121"/>
      <c r="B565" s="157"/>
      <c r="C565" s="165"/>
      <c r="D565" s="166"/>
      <c r="E565" s="167"/>
      <c r="F565" s="152"/>
      <c r="G565" s="125"/>
      <c r="H565" s="168"/>
      <c r="I565" s="121"/>
    </row>
    <row r="566" ht="15.75" customHeight="1">
      <c r="A566" s="121"/>
      <c r="B566" s="157"/>
      <c r="C566" s="165"/>
      <c r="D566" s="166"/>
      <c r="E566" s="167"/>
      <c r="F566" s="152"/>
      <c r="G566" s="125"/>
      <c r="H566" s="168"/>
      <c r="I566" s="121"/>
    </row>
    <row r="567" ht="15.75" customHeight="1">
      <c r="A567" s="121"/>
      <c r="B567" s="157"/>
      <c r="C567" s="165"/>
      <c r="D567" s="166"/>
      <c r="E567" s="167"/>
      <c r="F567" s="152"/>
      <c r="G567" s="125"/>
      <c r="H567" s="168"/>
      <c r="I567" s="121"/>
    </row>
    <row r="568" ht="15.75" customHeight="1">
      <c r="A568" s="121"/>
      <c r="B568" s="157"/>
      <c r="C568" s="165"/>
      <c r="D568" s="166"/>
      <c r="E568" s="167"/>
      <c r="F568" s="152"/>
      <c r="G568" s="125"/>
      <c r="H568" s="168"/>
      <c r="I568" s="121"/>
    </row>
    <row r="569" ht="15.75" customHeight="1">
      <c r="A569" s="121"/>
      <c r="B569" s="157"/>
      <c r="C569" s="165"/>
      <c r="D569" s="166"/>
      <c r="E569" s="167"/>
      <c r="F569" s="152"/>
      <c r="G569" s="125"/>
      <c r="H569" s="168"/>
      <c r="I569" s="121"/>
    </row>
    <row r="570" ht="15.75" customHeight="1">
      <c r="A570" s="121"/>
      <c r="B570" s="157"/>
      <c r="C570" s="165"/>
      <c r="D570" s="166"/>
      <c r="E570" s="167"/>
      <c r="F570" s="152"/>
      <c r="G570" s="125"/>
      <c r="H570" s="168"/>
      <c r="I570" s="121"/>
    </row>
    <row r="571" ht="15.75" customHeight="1">
      <c r="A571" s="121"/>
      <c r="B571" s="157"/>
      <c r="C571" s="165"/>
      <c r="D571" s="166"/>
      <c r="E571" s="167"/>
      <c r="F571" s="152"/>
      <c r="G571" s="125"/>
      <c r="H571" s="168"/>
      <c r="I571" s="121"/>
    </row>
    <row r="572" ht="15.75" customHeight="1">
      <c r="A572" s="137"/>
      <c r="B572" s="138"/>
      <c r="C572" s="178"/>
      <c r="D572" s="179"/>
      <c r="E572" s="139"/>
      <c r="F572" s="180"/>
      <c r="G572" s="141"/>
      <c r="H572" s="181"/>
      <c r="I572" s="137"/>
    </row>
  </sheetData>
  <autoFilter ref="$B$1:$H$572"/>
  <conditionalFormatting sqref="E1:E572 F1">
    <cfRule type="expression" dxfId="18" priority="1">
      <formula>$F1="DESCARREGADO"</formula>
    </cfRule>
  </conditionalFormatting>
  <conditionalFormatting sqref="F2:F561">
    <cfRule type="cellIs" dxfId="12" priority="2" operator="equal">
      <formula>"PROCES. TRANSF."</formula>
    </cfRule>
  </conditionalFormatting>
  <conditionalFormatting sqref="F2:F571">
    <cfRule type="cellIs" dxfId="12" priority="3" operator="equal">
      <formula>"PROCES. DESCARG."</formula>
    </cfRule>
  </conditionalFormatting>
  <conditionalFormatting sqref="F2:F571">
    <cfRule type="cellIs" dxfId="13" priority="4" operator="equal">
      <formula>"REGISTRO"</formula>
    </cfRule>
  </conditionalFormatting>
  <conditionalFormatting sqref="F2:F571">
    <cfRule type="cellIs" dxfId="14" priority="5" operator="equal">
      <formula>"OREI"</formula>
    </cfRule>
  </conditionalFormatting>
  <conditionalFormatting sqref="F2:F571">
    <cfRule type="cellIs" dxfId="6" priority="6" operator="equal">
      <formula>"DESCARREGADO"</formula>
    </cfRule>
  </conditionalFormatting>
  <conditionalFormatting sqref="F2:F571">
    <cfRule type="cellIs" dxfId="15" priority="7" operator="equal">
      <formula>"CONDENADO"</formula>
    </cfRule>
  </conditionalFormatting>
  <conditionalFormatting sqref="F2:F571">
    <cfRule type="cellIs" dxfId="16" priority="8" operator="equal">
      <formula>"AVARIADO"</formula>
    </cfRule>
  </conditionalFormatting>
  <conditionalFormatting sqref="F2:F571">
    <cfRule type="cellIs" dxfId="17" priority="9" operator="equal">
      <formula>"CONS. DURAD."</formula>
    </cfRule>
  </conditionalFormatting>
  <conditionalFormatting sqref="F562:F571">
    <cfRule type="cellIs" dxfId="19" priority="10" operator="equal">
      <formula>"TRANSFERIDO"</formula>
    </cfRule>
  </conditionalFormatting>
  <conditionalFormatting sqref="G1:H572">
    <cfRule type="expression" dxfId="20" priority="11">
      <formula>$F1="DESCARREGADO"</formula>
    </cfRule>
  </conditionalFormatting>
  <conditionalFormatting sqref="D1:D572">
    <cfRule type="expression" dxfId="0" priority="12">
      <formula>$F1="DESCARREGADO"</formula>
    </cfRule>
  </conditionalFormatting>
  <conditionalFormatting sqref="C1:C572">
    <cfRule type="expression" dxfId="18" priority="13">
      <formula>$F1="DESCARREGADO"</formula>
    </cfRule>
  </conditionalFormatting>
  <conditionalFormatting sqref="B1:B572">
    <cfRule type="expression" dxfId="21" priority="14">
      <formula>$F1="DESCARREGADO"</formula>
    </cfRule>
  </conditionalFormatting>
  <conditionalFormatting sqref="F1:F571">
    <cfRule type="cellIs" dxfId="22" priority="15" operator="equal">
      <formula>"EM TRANSF."</formula>
    </cfRule>
  </conditionalFormatting>
  <conditionalFormatting sqref="F1:F572">
    <cfRule type="cellIs" dxfId="23" priority="16" operator="equal">
      <formula>"TRANSFERIDO"</formula>
    </cfRule>
  </conditionalFormatting>
  <conditionalFormatting sqref="D1:D572">
    <cfRule type="expression" dxfId="1" priority="17">
      <formula>$F1="TRANSFERIDO"</formula>
    </cfRule>
  </conditionalFormatting>
  <conditionalFormatting sqref="B1:B572">
    <cfRule type="expression" dxfId="21" priority="18">
      <formula>$F1="TRANSFERIDO"</formula>
    </cfRule>
  </conditionalFormatting>
  <conditionalFormatting sqref="C1:C572">
    <cfRule type="expression" dxfId="18" priority="19">
      <formula>$F1="TRANSFERIDO"</formula>
    </cfRule>
  </conditionalFormatting>
  <conditionalFormatting sqref="E1:E572">
    <cfRule type="expression" dxfId="18" priority="20">
      <formula>$F1="TRANSFERIDO"</formula>
    </cfRule>
  </conditionalFormatting>
  <conditionalFormatting sqref="G1:H572">
    <cfRule type="expression" dxfId="7" priority="21">
      <formula>$F1="TRANSFERIDO"</formula>
    </cfRule>
  </conditionalFormatting>
  <dataValidations>
    <dataValidation type="list" allowBlank="1" showErrorMessage="1" sqref="B2:B571">
      <formula1>"DOC,OREI DEP.,SECRETARIA,CHEFIA,SALA AULA,RESERVA,ARMAZ.,MANUTENÇÃO,GARAGEM,PATRIM.,COFRE,GALPÃO,PAJÉ,CHEFE EQUIP.,QUART. EQ SVÇ,ALOJ. SGT,ALOJ. FEM.,ALOJ. CB/SD,HALL,COZINHA/REF.,TORRE,F 01,F 02,F 06,F 08,F 09,F 10,F 11,F 12"</formula1>
    </dataValidation>
    <dataValidation type="list" allowBlank="1" showErrorMessage="1" sqref="F2:F571">
      <formula1>"PERFEITO,AVARIADO,CONDENADO,AGUARDAN. CARGA,OREI,CONS. DURAD.,PROCES. DESCARG.,REGISTRO,Ñ ENCONTRADO,DESCARREGADO,TROCA NOMEN.,TRANSFERIDO,EM TRANSF.,EMPRESTADO,ITEM DESCARACTZ"</formula1>
    </dataValidation>
  </dataValidations>
  <printOptions/>
  <pageMargins bottom="0.75" footer="0.0" header="0.0" left="0.7" right="0.7" top="0.75"/>
  <pageSetup paperSize="9" orientation="portrait"/>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showGridLines="0" workbookViewId="0"/>
  </sheetViews>
  <sheetFormatPr customHeight="1" defaultColWidth="12.63" defaultRowHeight="15.0"/>
  <cols>
    <col customWidth="1" min="1" max="1" width="1.75"/>
    <col customWidth="1" min="2" max="2" width="17.88"/>
    <col customWidth="1" min="3" max="3" width="7.63"/>
    <col customWidth="1" min="4" max="4" width="18.75"/>
    <col customWidth="1" min="5" max="5" width="10.0"/>
    <col customWidth="1" min="6" max="6" width="114.25"/>
    <col customWidth="1" min="7" max="7" width="2.13"/>
  </cols>
  <sheetData>
    <row r="1" ht="17.25" customHeight="1">
      <c r="A1" s="182"/>
      <c r="B1" s="183"/>
      <c r="C1" s="184"/>
      <c r="D1" s="185"/>
      <c r="E1" s="186"/>
      <c r="F1" s="187"/>
      <c r="G1" s="182"/>
    </row>
    <row r="2" ht="35.25" customHeight="1">
      <c r="A2" s="188"/>
      <c r="B2" s="189" t="s">
        <v>1685</v>
      </c>
      <c r="C2" s="190">
        <f>SUM(C3:C5)-SUM(C11:C12)</f>
        <v>1032</v>
      </c>
      <c r="D2" s="191" t="s">
        <v>1686</v>
      </c>
      <c r="E2" s="192">
        <f>SUM(C3:C5)</f>
        <v>2432</v>
      </c>
      <c r="F2" s="193"/>
      <c r="G2" s="194"/>
    </row>
    <row r="3" ht="15.75" customHeight="1">
      <c r="A3" s="188"/>
      <c r="B3" s="195" t="s">
        <v>1687</v>
      </c>
      <c r="C3" s="196">
        <f>COUNTIF('PERMANENTE '!F2:F562,"*")</f>
        <v>561</v>
      </c>
      <c r="E3" s="197">
        <f t="shared" ref="E3:E10" si="1">C3/$E$2</f>
        <v>0.2306743421</v>
      </c>
      <c r="F3" s="198"/>
      <c r="G3" s="194"/>
    </row>
    <row r="4">
      <c r="A4" s="188"/>
      <c r="B4" s="195" t="s">
        <v>295</v>
      </c>
      <c r="C4" s="196">
        <f>COUNTIF('CONSUMO E DURADOURO'!D2:D100,"*")</f>
        <v>99</v>
      </c>
      <c r="E4" s="197">
        <f t="shared" si="1"/>
        <v>0.04070723684</v>
      </c>
      <c r="F4" s="198"/>
      <c r="G4" s="194"/>
    </row>
    <row r="5">
      <c r="A5" s="188"/>
      <c r="B5" s="199" t="s">
        <v>1688</v>
      </c>
      <c r="C5" s="200">
        <f>COUNTIF(EXTINTORES!D2:D1773,"*")</f>
        <v>1772</v>
      </c>
      <c r="D5" s="201"/>
      <c r="E5" s="197">
        <f t="shared" si="1"/>
        <v>0.7286184211</v>
      </c>
      <c r="F5" s="198"/>
      <c r="G5" s="194"/>
    </row>
    <row r="6">
      <c r="A6" s="188"/>
      <c r="B6" s="202" t="s">
        <v>1280</v>
      </c>
      <c r="C6" s="203">
        <f>COUNTIF('PERMANENTE '!F:F,"AVARIADO")+COUNTIF(EXTINTORES!D:D,"AVARIADO")</f>
        <v>7</v>
      </c>
      <c r="D6" s="204" t="s">
        <v>1280</v>
      </c>
      <c r="E6" s="205">
        <f t="shared" si="1"/>
        <v>0.002878289474</v>
      </c>
      <c r="F6" s="198"/>
      <c r="G6" s="194"/>
    </row>
    <row r="7">
      <c r="A7" s="188"/>
      <c r="B7" s="206" t="s">
        <v>1232</v>
      </c>
      <c r="C7" s="207">
        <f>COUNTIF('PERMANENTE '!F:F,"CONDENADO")+COUNTIF(EXTINTORES!D:D,"CONDENADO")</f>
        <v>67</v>
      </c>
      <c r="D7" s="208" t="s">
        <v>1232</v>
      </c>
      <c r="E7" s="209">
        <f t="shared" si="1"/>
        <v>0.02754934211</v>
      </c>
      <c r="F7" s="198"/>
      <c r="G7" s="194"/>
    </row>
    <row r="8">
      <c r="A8" s="188"/>
      <c r="B8" s="210" t="s">
        <v>1228</v>
      </c>
      <c r="C8" s="211">
        <f>COUNTIF('PERMANENTE '!F:F,"PROCES. DESCARG.")+COUNTIF(EXTINTORES!D:D,"PROCES. DESCARG.")</f>
        <v>29</v>
      </c>
      <c r="D8" s="212" t="s">
        <v>1228</v>
      </c>
      <c r="E8" s="213">
        <f t="shared" si="1"/>
        <v>0.01192434211</v>
      </c>
      <c r="F8" s="198"/>
      <c r="G8" s="194"/>
    </row>
    <row r="9">
      <c r="A9" s="188"/>
      <c r="B9" s="206" t="s">
        <v>1303</v>
      </c>
      <c r="C9" s="207">
        <f>COUNTIF('PERMANENTE '!F:F,"EM TRANSF.")+COUNTIF(EXTINTORES!D:D,"EM TRANSF.")</f>
        <v>1</v>
      </c>
      <c r="D9" s="214" t="s">
        <v>1303</v>
      </c>
      <c r="E9" s="215">
        <f t="shared" si="1"/>
        <v>0.0004111842105</v>
      </c>
      <c r="F9" s="198"/>
      <c r="G9" s="194"/>
    </row>
    <row r="10">
      <c r="A10" s="188"/>
      <c r="B10" s="216" t="s">
        <v>1672</v>
      </c>
      <c r="C10" s="217">
        <f>COUNTIF('PERMANENTE '!F:F,"Ñ ENCONTRADO")+COUNTIF(EXTINTORES!D:D,"Ñ ENCONTRADO")</f>
        <v>1</v>
      </c>
      <c r="D10" s="218" t="s">
        <v>1672</v>
      </c>
      <c r="E10" s="219">
        <f t="shared" si="1"/>
        <v>0.0004111842105</v>
      </c>
      <c r="F10" s="198"/>
      <c r="G10" s="194"/>
    </row>
    <row r="11">
      <c r="A11" s="188"/>
      <c r="B11" s="220" t="s">
        <v>397</v>
      </c>
      <c r="C11" s="221">
        <f>COUNTIF('PERMANENTE '!F:F,"DESCARREGADO")+COUNTIF(EXTINTORES!D:D,"DESCARREGADO")</f>
        <v>1396</v>
      </c>
      <c r="D11" s="222" t="s">
        <v>1689</v>
      </c>
      <c r="E11" s="223">
        <f>SUM(C11:C12)/$E$2</f>
        <v>0.5756578947</v>
      </c>
      <c r="F11" s="198"/>
      <c r="G11" s="194"/>
    </row>
    <row r="12">
      <c r="A12" s="188"/>
      <c r="B12" s="220" t="s">
        <v>1196</v>
      </c>
      <c r="C12" s="221">
        <f>COUNTIF('PERMANENTE '!F:F,"TRANSFERIDO")+COUNTIF(EXTINTORES!D:D,"TRANSFERIDO")</f>
        <v>4</v>
      </c>
      <c r="D12" s="224"/>
      <c r="E12" s="225"/>
      <c r="F12" s="198"/>
      <c r="G12" s="194"/>
    </row>
    <row r="13">
      <c r="A13" s="188"/>
      <c r="B13" s="202" t="s">
        <v>543</v>
      </c>
      <c r="C13" s="203">
        <f>COUNTIF('PERMANENTE '!F:F,"PERFEITO")+COUNTIF(EXTINTORES!D:D,"PERFEITO")</f>
        <v>729</v>
      </c>
      <c r="D13" s="226" t="s">
        <v>543</v>
      </c>
      <c r="E13" s="227">
        <f>SUM(C13:C20)/$E$2</f>
        <v>0.3815789474</v>
      </c>
      <c r="F13" s="198"/>
      <c r="G13" s="194"/>
    </row>
    <row r="14">
      <c r="A14" s="188"/>
      <c r="B14" s="206" t="s">
        <v>1690</v>
      </c>
      <c r="C14" s="207">
        <f>COUNTIF('PERMANENTE '!F:F,"AGUARDAN. CARGA")+COUNTIF(EXTINTORES!D:D,"AGUARDAN. CARGA")</f>
        <v>0</v>
      </c>
      <c r="D14" s="224"/>
      <c r="E14" s="225"/>
      <c r="F14" s="198"/>
      <c r="G14" s="194"/>
    </row>
    <row r="15">
      <c r="A15" s="188"/>
      <c r="B15" s="206" t="s">
        <v>1225</v>
      </c>
      <c r="C15" s="207">
        <f>COUNTIF('PERMANENTE '!F:F,"REGISTRO")+COUNTIF(EXTINTORES!D:D,"REGISTRO")</f>
        <v>28</v>
      </c>
      <c r="D15" s="224"/>
      <c r="E15" s="225"/>
      <c r="F15" s="198"/>
      <c r="G15" s="194"/>
    </row>
    <row r="16">
      <c r="A16" s="188"/>
      <c r="B16" s="206" t="s">
        <v>1271</v>
      </c>
      <c r="C16" s="207">
        <f>COUNTIF('PERMANENTE '!F:F,"OREI")+COUNTIF(EXTINTORES!D:D,"OREI")</f>
        <v>58</v>
      </c>
      <c r="D16" s="224"/>
      <c r="E16" s="225"/>
      <c r="F16" s="198"/>
      <c r="G16" s="194"/>
    </row>
    <row r="17">
      <c r="A17" s="188"/>
      <c r="B17" s="206" t="s">
        <v>1183</v>
      </c>
      <c r="C17" s="207">
        <f>COUNTIF('PERMANENTE '!F:F,"TROCA NOMEN.")+COUNTIF(EXTINTORES!D:D,"TROCA NOMEN.")</f>
        <v>8</v>
      </c>
      <c r="D17" s="224"/>
      <c r="E17" s="225"/>
      <c r="F17" s="198"/>
      <c r="G17" s="194"/>
    </row>
    <row r="18">
      <c r="A18" s="188"/>
      <c r="B18" s="206" t="s">
        <v>1691</v>
      </c>
      <c r="C18" s="207">
        <f>COUNTIF('PERMANENTE '!F:F,"EMPRESTADO")+COUNTIF(EXTINTORES!D:D,"EMPRESTADO")</f>
        <v>0</v>
      </c>
      <c r="D18" s="224"/>
      <c r="E18" s="225"/>
      <c r="F18" s="198"/>
      <c r="G18" s="194"/>
    </row>
    <row r="19">
      <c r="A19" s="188"/>
      <c r="B19" s="206" t="s">
        <v>1398</v>
      </c>
      <c r="C19" s="207">
        <f>COUNTIF('PERMANENTE '!F:F,"ITEM DESCARACTZ")+COUNTIF(EXTINTORES!D:D,"ITEM DESCARACTZ")</f>
        <v>6</v>
      </c>
      <c r="D19" s="224"/>
      <c r="E19" s="225"/>
      <c r="F19" s="198"/>
      <c r="G19" s="194"/>
    </row>
    <row r="20">
      <c r="A20" s="188"/>
      <c r="B20" s="216" t="s">
        <v>295</v>
      </c>
      <c r="C20" s="217">
        <f>COUNTIF('CONSUMO E DURADOURO'!D:D,"CONS. DURAD.")+COUNTIF(EXTINTORES!D:D,"CONS. DURAD.")</f>
        <v>99</v>
      </c>
      <c r="D20" s="228"/>
      <c r="E20" s="229"/>
      <c r="F20" s="198"/>
      <c r="G20" s="194"/>
    </row>
    <row r="21" ht="15.75" customHeight="1">
      <c r="A21" s="188"/>
      <c r="B21" s="230"/>
      <c r="C21" s="231"/>
      <c r="D21" s="185"/>
      <c r="E21" s="185"/>
      <c r="F21" s="198"/>
      <c r="G21" s="194"/>
    </row>
    <row r="22" ht="15.75" customHeight="1">
      <c r="A22" s="194"/>
      <c r="B22" s="232"/>
      <c r="C22" s="233"/>
      <c r="D22" s="234"/>
      <c r="E22" s="235"/>
      <c r="F22" s="236"/>
      <c r="G22" s="194"/>
    </row>
    <row r="23" ht="15.75" customHeight="1">
      <c r="A23" s="194"/>
      <c r="B23" s="236"/>
      <c r="C23" s="237"/>
      <c r="D23" s="238"/>
      <c r="E23" s="239"/>
      <c r="F23" s="236"/>
      <c r="G23" s="194"/>
    </row>
    <row r="24" ht="192.0" customHeight="1">
      <c r="A24" s="194"/>
      <c r="B24" s="236"/>
      <c r="C24" s="237"/>
      <c r="D24" s="238"/>
      <c r="E24" s="239"/>
      <c r="F24" s="236"/>
      <c r="G24" s="194"/>
    </row>
  </sheetData>
  <mergeCells count="7">
    <mergeCell ref="C3:D3"/>
    <mergeCell ref="C4:D4"/>
    <mergeCell ref="C5:D5"/>
    <mergeCell ref="D11:D12"/>
    <mergeCell ref="E11:E12"/>
    <mergeCell ref="D13:D20"/>
    <mergeCell ref="E13:E20"/>
  </mergeCells>
  <conditionalFormatting sqref="F1:F2">
    <cfRule type="expression" dxfId="8" priority="1">
      <formula>#REF!="DESCARREGADO"</formula>
    </cfRule>
  </conditionalFormatting>
  <printOptions/>
  <pageMargins bottom="1.05277777777778" footer="0.0" header="0.0" left="0.7875" right="0.7875" top="1.05277777777778"/>
  <pageSetup paperSize="5" orientation="landscape"/>
  <headerFooter>
    <oddHeader>&amp;Cffffff&amp;A</oddHeader>
    <oddFooter>&amp;CffffffPágina &amp;P</oddFooter>
  </headerFooter>
  <drawing r:id="rId1"/>
</worksheet>
</file>